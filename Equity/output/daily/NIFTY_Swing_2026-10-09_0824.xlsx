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Stocks\Equity\output\daily\"/>
    </mc:Choice>
  </mc:AlternateContent>
  <xr:revisionPtr revIDLastSave="0" documentId="13_ncr:1_{DC38DA4C-6A21-42F5-B27E-863E80A84042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WING PICKS" sheetId="1" r:id="rId1"/>
    <sheet name="WATCHLIST" sheetId="2" r:id="rId2"/>
    <sheet name="ALL INDICATORS" sheetId="3" r:id="rId3"/>
    <sheet name="HOW TO READ" sheetId="4" r:id="rId4"/>
  </sheets>
  <definedNames>
    <definedName name="_xlnm._FilterDatabase" localSheetId="2" hidden="1">'ALL INDICATORS'!$A$4:$AO$39</definedName>
    <definedName name="_xlnm._FilterDatabase" localSheetId="0" hidden="1">'SWING PICKS'!$A$4:$AL$19</definedName>
    <definedName name="_xlnm._FilterDatabase" localSheetId="1" hidden="1">WATCHLIST!$A$4:$AL$24</definedName>
  </definedNames>
  <calcPr calcId="0"/>
</workbook>
</file>

<file path=xl/sharedStrings.xml><?xml version="1.0" encoding="utf-8"?>
<sst xmlns="http://schemas.openxmlformats.org/spreadsheetml/2006/main" count="705" uniqueCount="284">
  <si>
    <t>NIFTY SWING PICKS</t>
  </si>
  <si>
    <t>Universe: NSE_ALL | NIFTY regime: BEAR | Generated: 09-Oct-2026 08:24 | Targets: +7% / +10% | *Qty sized for Rs 100,000 capital, 1% risk</t>
  </si>
  <si>
    <t>Rank</t>
  </si>
  <si>
    <t>Stock</t>
  </si>
  <si>
    <t>Company</t>
  </si>
  <si>
    <t>Sector</t>
  </si>
  <si>
    <t>Setup</t>
  </si>
  <si>
    <t>Action</t>
  </si>
  <si>
    <t>Swing Score</t>
  </si>
  <si>
    <t>Grade</t>
  </si>
  <si>
    <t>Last Close</t>
  </si>
  <si>
    <t>Live Price</t>
  </si>
  <si>
    <t>Entry Low</t>
  </si>
  <si>
    <t>Entry High</t>
  </si>
  <si>
    <t>Stop Loss</t>
  </si>
  <si>
    <t>Stop %</t>
  </si>
  <si>
    <t>Target 1</t>
  </si>
  <si>
    <t>Target 2</t>
  </si>
  <si>
    <t>RR T1</t>
  </si>
  <si>
    <t>RR T2</t>
  </si>
  <si>
    <t>Suggested Qty*</t>
  </si>
  <si>
    <t>Position Value*</t>
  </si>
  <si>
    <t>Hist Hit 7%</t>
  </si>
  <si>
    <t>Hist Hit 10%</t>
  </si>
  <si>
    <t>Hist Samples</t>
  </si>
  <si>
    <t>RVOL</t>
  </si>
  <si>
    <t>RSI14</t>
  </si>
  <si>
    <t>ADX14</t>
  </si>
  <si>
    <t>ATR%</t>
  </si>
  <si>
    <t>1M%</t>
  </si>
  <si>
    <t>3M%</t>
  </si>
  <si>
    <t>vs NIFTY 1M%</t>
  </si>
  <si>
    <t>52W High Dist%</t>
  </si>
  <si>
    <t>News Sentiment</t>
  </si>
  <si>
    <t>Next Earnings</t>
  </si>
  <si>
    <t>Fundamental</t>
  </si>
  <si>
    <t>Why Selected</t>
  </si>
  <si>
    <t>Risk Flags</t>
  </si>
  <si>
    <t>Recent News</t>
  </si>
  <si>
    <t>NSE Announcements</t>
  </si>
  <si>
    <t>GLAND</t>
  </si>
  <si>
    <t>Gland Pharma Ltd.</t>
  </si>
  <si>
    <t>Healthcare</t>
  </si>
  <si>
    <t>BREAKOUT</t>
  </si>
  <si>
    <t>WAIT - below entry zone, needs confirmation</t>
  </si>
  <si>
    <t>A</t>
  </si>
  <si>
    <t>2026-11-03</t>
  </si>
  <si>
    <t>Supportive</t>
  </si>
  <si>
    <t>Price&gt;EMA20&gt;EMA50&gt;EMA200 | MACD bullish | ADX&gt;=25 strong trend | Volume 2.7x avg | OBV rising | Closed above prior 20D high | Near 52W high | BB squeeze before move</t>
  </si>
  <si>
    <t>Extended &gt;7% above EMA20</t>
  </si>
  <si>
    <t>Open filings</t>
  </si>
  <si>
    <t>THELEELA</t>
  </si>
  <si>
    <t>Leela Palaces Hotels &amp; Resorts Ltd.</t>
  </si>
  <si>
    <t>Consumer Services</t>
  </si>
  <si>
    <t>Price&gt;EMA20&gt;EMA50&gt;EMA200 | MACD bullish | ADX&gt;=25 strong trend | Volume 1.7x avg | OBV rising | Closed above prior 20D high | Near 52W high | Beating NIFTY 1M</t>
  </si>
  <si>
    <t>TFCILTD</t>
  </si>
  <si>
    <t>Price&gt;EMA20&gt;EMA50&gt;EMA200 | ADX&gt;=25 strong trend | Volume 1.6x avg | OBV rising | Closed above prior 20D high | Near 52W high | BB squeeze before move | Beating NIFTY 1M</t>
  </si>
  <si>
    <t>RELAXED smallcap</t>
  </si>
  <si>
    <t>SKYGOLD</t>
  </si>
  <si>
    <t>SKY GOLD AND DIAMONDS Ltd.</t>
  </si>
  <si>
    <t>Consumer Durables</t>
  </si>
  <si>
    <t>NEAR BREAKOUT</t>
  </si>
  <si>
    <t>WAIT - trigger not hit (buy above 895.69)</t>
  </si>
  <si>
    <t>Price&gt;EMA20&gt;EMA50&gt;EMA200 | MACD bullish | Volume 2.6x avg | OBV rising | Near 52W high | BB squeeze before move | Beating NIFTY 1M | Stock hit +7% in 15d 72% of similar setups</t>
  </si>
  <si>
    <t>RSI&gt;70 (hot) | Extended &gt;7% above EMA20</t>
  </si>
  <si>
    <t>SHREEJISPG</t>
  </si>
  <si>
    <t>Shreeji Shipping Global Ltd.</t>
  </si>
  <si>
    <t>Services</t>
  </si>
  <si>
    <t>MOMENTUM</t>
  </si>
  <si>
    <t>BUY ZONE</t>
  </si>
  <si>
    <t>Price&gt;EMA20&gt;EMA50&gt;EMA200 | MACD bullish | ADX&gt;=25 strong trend | Volume 1.9x avg | OBV rising | Closed above prior 20D high | Near 52W high | Beating NIFTY 1M</t>
  </si>
  <si>
    <t>CHENNPETRO</t>
  </si>
  <si>
    <t>Chennai Petroleum Corporation Ltd.</t>
  </si>
  <si>
    <t>Oil Gas &amp; Consumable Fuels</t>
  </si>
  <si>
    <t>Price&gt;EMA20&gt;EMA50&gt;EMA200 | MACD bullish | ADX&gt;=25 strong trend | Volume 2.0x avg | OBV rising | Beating NIFTY 1M | Stock hit +7% in 15d 71% of similar setups</t>
  </si>
  <si>
    <t>High volatility</t>
  </si>
  <si>
    <t>NYKAA</t>
  </si>
  <si>
    <t>FSN E-Commerce Ventures Ltd.</t>
  </si>
  <si>
    <t>WAIT - trigger not hit (buy above 346.50)</t>
  </si>
  <si>
    <t>2026-11-05</t>
  </si>
  <si>
    <t>Price&gt;EMA20&gt;EMA50&gt;EMA200 | MACD bullish | OBV rising | Near 52W high | BB squeeze before move | Beating NIFTY 1M | Stock hit +7% in 15d 25% of similar setups</t>
  </si>
  <si>
    <t>Weak trend (ADX&lt;20)</t>
  </si>
  <si>
    <t>PTCIL</t>
  </si>
  <si>
    <t>PTC Industries Ltd.</t>
  </si>
  <si>
    <t>Capital Goods</t>
  </si>
  <si>
    <t>WAIT - trigger not hit (buy above 24824.80)</t>
  </si>
  <si>
    <t>Price&gt;EMA20&gt;EMA50&gt;EMA200 | MACD bullish | ADX&gt;=25 strong trend | OBV rising | Near 52W high | BB squeeze before move | Beating NIFTY 1M | Stock hit +7% in 15d 41% of similar setups</t>
  </si>
  <si>
    <t>AETHER</t>
  </si>
  <si>
    <t>Aether Industries Ltd.</t>
  </si>
  <si>
    <t>Chemicals</t>
  </si>
  <si>
    <t>WAIT - trigger not hit (buy above 1815.91)</t>
  </si>
  <si>
    <t>Price&gt;EMA20&gt;EMA50&gt;EMA200 | MACD bullish | ADX&gt;=25 strong trend | OBV rising | Near 52W high | BB squeeze before move | Beating NIFTY 1M | Stock hit +7% in 15d 70% of similar setups</t>
  </si>
  <si>
    <t>BBOX</t>
  </si>
  <si>
    <t>Black Box Ltd.</t>
  </si>
  <si>
    <t>Information Technology</t>
  </si>
  <si>
    <t>Price&gt;EMA20&gt;EMA50&gt;EMA200 | MACD bullish | ADX&gt;=25 strong trend | Volume 2.2x avg | OBV rising | BB squeeze before move | Beating NIFTY 1M | Stock hit +7% in 15d 43% of similar setups</t>
  </si>
  <si>
    <t>ATLANTAELE</t>
  </si>
  <si>
    <t>Atlanta Electricals Ltd.</t>
  </si>
  <si>
    <t>TREND CONTINUATION</t>
  </si>
  <si>
    <t>B</t>
  </si>
  <si>
    <t>Price&gt;EMA20&gt;EMA50&gt;EMA200 | MACD bullish | Volume 2.0x avg | OBV rising | Beating NIFTY 1M | Stock hit +7% in 15d 83% of similar setups</t>
  </si>
  <si>
    <t>PWL</t>
  </si>
  <si>
    <t>Physicswallah Ltd.</t>
  </si>
  <si>
    <t>Price&gt;EMA20&gt;EMA50&gt;EMA200 | MACD bullish | OBV rising | Closed above prior 20D high | Beating NIFTY 1M</t>
  </si>
  <si>
    <t>DYNAMATECH</t>
  </si>
  <si>
    <t>Dynamatic Technologies Ltd.</t>
  </si>
  <si>
    <t>Price&gt;EMA20&gt;EMA50&gt;EMA200 | MACD bullish | ADX&gt;=25 strong trend | OBV rising | Near 52W high | Beating NIFTY 1M | Stock hit +7% in 15d 53% of similar setups</t>
  </si>
  <si>
    <t>ICIL</t>
  </si>
  <si>
    <t>Indo Count Industries Ltd.</t>
  </si>
  <si>
    <t>Textiles</t>
  </si>
  <si>
    <t>Price&gt;EMA20&gt;EMA50&gt;EMA200 | MACD bullish | ADX&gt;=25 strong trend | OBV rising | Near 52W high | BB squeeze before move | Beating NIFTY 1M | Stock hit +7% in 15d 62% of similar setups</t>
  </si>
  <si>
    <t>KMEW</t>
  </si>
  <si>
    <t>Knowledge Marine &amp; Engineering Works Ltd.</t>
  </si>
  <si>
    <t>Price&gt;EMA20&gt;EMA50&gt;EMA200 | MACD bullish | OBV rising | Near 52W high | BB squeeze before move | Beating NIFTY 1M | Stock hit +7% in 15d 78% of similar setups</t>
  </si>
  <si>
    <t>WATCHLIST - near-miss / needs trigger or review</t>
  </si>
  <si>
    <t>PVRINOX</t>
  </si>
  <si>
    <t>PVR INOX Ltd.</t>
  </si>
  <si>
    <t>Media Entertainment &amp; Publication</t>
  </si>
  <si>
    <t>2026-10-15</t>
  </si>
  <si>
    <t>Price&gt;EMA20&gt;EMA50&gt;EMA200 | Volume 6.9x avg | OBV rising | Near 52W high | Beating NIFTY 1M</t>
  </si>
  <si>
    <t>Extended &gt;7% above EMA20 | Big 1D spike</t>
  </si>
  <si>
    <t>USHAMART</t>
  </si>
  <si>
    <t>Usha Martin Ltd.</t>
  </si>
  <si>
    <t>EMA20 PULLBACK</t>
  </si>
  <si>
    <t>Price&gt;EMA20&gt;EMA50&gt;EMA200 | MACD bullish | OBV rising | Near 52W high | Beating NIFTY 1M | Stock hit +7% in 15d 42% of similar setups</t>
  </si>
  <si>
    <t>TBOTEK</t>
  </si>
  <si>
    <t>TBO Tek Ltd.</t>
  </si>
  <si>
    <t>WAIT - trigger not hit (buy above 1749.75)</t>
  </si>
  <si>
    <t>Price&gt;EMA20&gt;EMA50&gt;EMA200 | Volume 11.7x avg | OBV rising | Near 52W high | BB squeeze before move | Beating NIFTY 1M | Stock hit +7% in 15d 28% of similar setups</t>
  </si>
  <si>
    <t>GKSL</t>
  </si>
  <si>
    <t>Price&gt;EMA20&gt;EMA50&gt;EMA200 | MACD bullish | ADX&gt;=25 strong trend | OBV rising | BB squeeze before move | Beating NIFTY 1M | Stock hit +7% in 15d 69% of similar setups</t>
  </si>
  <si>
    <t>GPPL</t>
  </si>
  <si>
    <t>Gujarat Pipavav Port Ltd.</t>
  </si>
  <si>
    <t>Price&gt;EMA20&gt;EMA50&gt;EMA200 | MACD bullish | ADX&gt;=25 strong trend | Volume 1.5x avg | OBV rising | BB squeeze before move | Beating NIFTY 1M | Stock hit +7% in 15d 53% of similar setups</t>
  </si>
  <si>
    <t>KOTAKBANK</t>
  </si>
  <si>
    <t>Kotak Mahindra Bank Ltd.</t>
  </si>
  <si>
    <t>Financial Services</t>
  </si>
  <si>
    <t>WAIT - trigger not hit (buy above 441.94)</t>
  </si>
  <si>
    <t>2026-10-24</t>
  </si>
  <si>
    <t>Price&gt;EMA20&gt;EMA50&gt;EMA200 | MACD bullish | ADX&gt;=25 strong trend | OBV rising | Near 52W high | BB squeeze before move | Beating NIFTY 1M</t>
  </si>
  <si>
    <t>KPIL</t>
  </si>
  <si>
    <t>Kalpataru Projects International Ltd.</t>
  </si>
  <si>
    <t>Construction</t>
  </si>
  <si>
    <t>SKIP - price already below stop</t>
  </si>
  <si>
    <t>2026-10-29</t>
  </si>
  <si>
    <t>Price&gt;EMA20&gt;EMA50&gt;EMA200 | MACD bullish | OBV rising | Near 52W high | BB squeeze before move | Beating NIFTY 1M | Stock hit +7% in 15d 28% of similar setups</t>
  </si>
  <si>
    <t>QPOWER</t>
  </si>
  <si>
    <t>QUALITY POWER ELECTRICAL EQUIPMENTS Ltd.</t>
  </si>
  <si>
    <t>Price&gt;EMA20&gt;EMA50&gt;EMA200 | MACD bullish | OBV rising | Near 52W high | BB squeeze before move | Beating NIFTY 1M | Stock hit +7% in 15d 83% of similar setups</t>
  </si>
  <si>
    <t>RRKABEL</t>
  </si>
  <si>
    <t>R R Kabel Ltd.</t>
  </si>
  <si>
    <t>Price&gt;EMA20&gt;EMA50&gt;EMA200 | MACD bullish | ADX&gt;=25 strong trend | OBV rising | BB squeeze before move | Beating NIFTY 1M | Stock hit +7% in 15d 58% of similar setups</t>
  </si>
  <si>
    <t>BHEL</t>
  </si>
  <si>
    <t>Bharat Heavy Electricals Ltd.</t>
  </si>
  <si>
    <t>2026-10-14</t>
  </si>
  <si>
    <t>Price&gt;EMA20&gt;EMA50&gt;EMA200 | MACD bullish | Volume 1.6x avg | OBV rising | BB squeeze before move | Beating NIFTY 1M | Stock hit +7% in 15d 36% of similar setups</t>
  </si>
  <si>
    <t>RELAXED smallcap | Earnings in 5 day(s)</t>
  </si>
  <si>
    <t>ABDL</t>
  </si>
  <si>
    <t>Allied Blenders and Distillers Ltd.</t>
  </si>
  <si>
    <t>Fast Moving Consumer Goods</t>
  </si>
  <si>
    <t>Price&gt;EMA20&gt;EMA50&gt;EMA200 | MACD bullish | ADX&gt;=25 strong trend | OBV rising | Beating NIFTY 1M | Stock hit +7% in 15d 55% of similar setups</t>
  </si>
  <si>
    <t>Volume below average</t>
  </si>
  <si>
    <t>AEQUS</t>
  </si>
  <si>
    <t>Aequs Ltd.</t>
  </si>
  <si>
    <t>Price&gt;EMA20&gt;EMA50&gt;EMA200 | MACD bullish | ADX&gt;=25 strong trend | OBV rising | BB squeeze before move | Beating NIFTY 1M | Stock hit +7% in 15d 72% of similar setups</t>
  </si>
  <si>
    <t>KARURVYSYA</t>
  </si>
  <si>
    <t>Karur Vysya Bank Ltd.</t>
  </si>
  <si>
    <t>Price&gt;EMA20&gt;EMA50&gt;EMA200 | MACD bullish | OBV rising | BB squeeze before move | Beating NIFTY 1M | Stock hit +7% in 15d 49% of similar setups</t>
  </si>
  <si>
    <t>NAZARA</t>
  </si>
  <si>
    <t>Nazara Technologies Ltd.</t>
  </si>
  <si>
    <t>Mixed</t>
  </si>
  <si>
    <t>Price&gt;EMA20&gt;EMA50&gt;EMA200 | ADX&gt;=25 strong trend | Volume 2.5x avg | OBV rising | BB squeeze before move | Beating NIFTY 1M | Stock hit +7% in 15d 42% of similar setups</t>
  </si>
  <si>
    <t>HFCL</t>
  </si>
  <si>
    <t>HFCL Ltd.</t>
  </si>
  <si>
    <t>Telecommunication</t>
  </si>
  <si>
    <t>Price&gt;EMA20&gt;EMA50&gt;EMA200 | MACD bullish | OBV rising | Beating NIFTY 1M | Stock hit +7% in 15d 60% of similar setups</t>
  </si>
  <si>
    <t>AXISCADES</t>
  </si>
  <si>
    <t>AXISCADES Technologies Ltd.</t>
  </si>
  <si>
    <t>Price&gt;EMA20&gt;EMA50&gt;EMA200 | MACD bullish | ADX&gt;=25 strong trend | OBV rising | Beating NIFTY 1M | Stock hit +7% in 15d 63% of similar setups</t>
  </si>
  <si>
    <t>LLOYDSENGG</t>
  </si>
  <si>
    <t>Lloyds Engineering Works Ltd.</t>
  </si>
  <si>
    <t>Price&gt;EMA20&gt;EMA50&gt;EMA200 | MACD bullish | ADX&gt;=25 strong trend | OBV rising | Beating NIFTY 1M | Stock hit +7% in 15d 43% of similar setups</t>
  </si>
  <si>
    <t>MEESHO</t>
  </si>
  <si>
    <t>Meesho Ltd.</t>
  </si>
  <si>
    <t>Price&gt;EMA20&gt;EMA50&gt;EMA200 | MACD bullish | ADX&gt;=25 strong trend | OBV rising | Beating NIFTY 1M | Stock hit +7% in 15d 82% of similar setups</t>
  </si>
  <si>
    <t>PGIL</t>
  </si>
  <si>
    <t>Pearl Global Industries Ltd.</t>
  </si>
  <si>
    <t>Price&gt;EMA20&gt;EMA50&gt;EMA200 | MACD bullish | ADX&gt;=25 strong trend | OBV rising | Beating NIFTY 1M | Stock hit +7% in 15d 66% of similar setups</t>
  </si>
  <si>
    <t>TDPOWERSYS</t>
  </si>
  <si>
    <t>TD Power Systems Ltd.</t>
  </si>
  <si>
    <t>Price&gt;EMA20&gt;EMA50&gt;EMA200 | MACD bullish | ADX&gt;=25 strong trend | OBV rising | BB squeeze before move | Beating NIFTY 1M | Stock hit +7% in 15d 61% of similar setups</t>
  </si>
  <si>
    <t>ALL INDICATORS (picks + watchlist)</t>
  </si>
  <si>
    <t>EMA20</t>
  </si>
  <si>
    <t>EMA50</t>
  </si>
  <si>
    <t>EMA200</t>
  </si>
  <si>
    <t>MACD</t>
  </si>
  <si>
    <t>MACD Signal</t>
  </si>
  <si>
    <t>MACD Hist</t>
  </si>
  <si>
    <t>+DI</t>
  </si>
  <si>
    <t>-DI</t>
  </si>
  <si>
    <t>ATR14</t>
  </si>
  <si>
    <t>OBV vs EMA20</t>
  </si>
  <si>
    <t>Up/Down Vol 10D</t>
  </si>
  <si>
    <t>BB %B</t>
  </si>
  <si>
    <t>BB Width%</t>
  </si>
  <si>
    <t>BB Squeeze</t>
  </si>
  <si>
    <t>Stoch K</t>
  </si>
  <si>
    <t>Stoch D</t>
  </si>
  <si>
    <t>1D%</t>
  </si>
  <si>
    <t>5D%</t>
  </si>
  <si>
    <t>20D High Dist%</t>
  </si>
  <si>
    <t>EMA20 Dist%</t>
  </si>
  <si>
    <t>NIFTY Regime</t>
  </si>
  <si>
    <t>NIFTY 1M%</t>
  </si>
  <si>
    <t>NIFTY 3M%</t>
  </si>
  <si>
    <t>Market Cap Cr</t>
  </si>
  <si>
    <t>PE</t>
  </si>
  <si>
    <t>ROE%</t>
  </si>
  <si>
    <t>Debt/Equity</t>
  </si>
  <si>
    <t>Revenue Growth%</t>
  </si>
  <si>
    <t>Earnings Growth%</t>
  </si>
  <si>
    <t>Rising</t>
  </si>
  <si>
    <t>Yes</t>
  </si>
  <si>
    <t>BEAR</t>
  </si>
  <si>
    <t>No</t>
  </si>
  <si>
    <t>HOW TO READ THIS REPORT</t>
  </si>
  <si>
    <t>Action: BUY ZONE = live price is inside entry range now. WAIT = good setup but price is outside the zone (don't chase). REVIEW/AVOID = earnings within 3 days or several negative headlines. SKIP = already below stop.</t>
  </si>
  <si>
    <t>Setups: BREAKOUT (close above prior 20D high on &gt;=1.3x volume) | NEAR BREAKOUT (squeezed, within 3% of the 20D high - buy only above trigger) | EMA20 PULLBACK (uptrend dipping to EMA20) | MOMENTUM | TREND CONTINUATION.</t>
  </si>
  <si>
    <t>Targets are fixed at +7% and +10% from entry. Stop = tighter of 1.8 x ATR or 10-day swing low, limited to 3-6.5% below entry. Suggested approach: book half at Target 1, trail the rest.</t>
  </si>
  <si>
    <t>Hist Hit 7%/10% = % of past days (this stock, last ~2y, similar uptrend conditions) where price reached the target within 15 trading days. It ignores whether the stop was hit first, so treat it as a rough 'can this stock move that far' guide.</t>
  </si>
  <si>
    <t>Swing Score (0-100): trend 20, momentum 20, volume 20, breakout structure 15, relative strength 10, volatility fit 5, historical hit-rate 10, market regime +3/-5, then news / fundamentals / earnings adjustments. Grade A&gt;=75, B&gt;=65, C otherwise.</t>
  </si>
  <si>
    <t>News Sentiment is a simple headline keyword check. Always read the headlines (Recent News column) before trading.</t>
  </si>
  <si>
    <t>Signals use the last COMPLETED daily candle. Live Price is only used to decide if you are still inside the entry zone.</t>
  </si>
  <si>
    <t>Not financial advice. Position sizes are illustrative; use your own capital and risk rules. Past patterns do not guarantee future moves.</t>
  </si>
  <si>
    <t>FILTER FUNNEL (this run)</t>
  </si>
  <si>
    <t>1. Universe size: 762</t>
  </si>
  <si>
    <t>2. Price data downloaded: 756</t>
  </si>
  <si>
    <t xml:space="preserve">   rejected - no setup pattern (even relaxed): 594</t>
  </si>
  <si>
    <t xml:space="preserve">   rejected - illiquid (even relaxed): 8</t>
  </si>
  <si>
    <t xml:space="preserve">   rejected - ADX/RVOL weak (relaxed: ADX 31, RVOL 0.32): 1</t>
  </si>
  <si>
    <t xml:space="preserve">   rejected - ADX/RVOL weak (relaxed: ADX 20, RVOL 0.17): 1</t>
  </si>
  <si>
    <t xml:space="preserve">   rejected - failed trend (even relaxed): 24</t>
  </si>
  <si>
    <t xml:space="preserve">   rejected - ADX/RVOL weak (relaxed: ADX 10, RVOL 0.76): 1</t>
  </si>
  <si>
    <t xml:space="preserve">   rejected - ADX/RVOL weak (relaxed: ADX 18, RVOL 0.39): 1</t>
  </si>
  <si>
    <t xml:space="preserve">   rejected - ADX/RVOL weak (relaxed: ADX 34, RVOL 0.19): 1</t>
  </si>
  <si>
    <t xml:space="preserve">   rejected - ADX/RVOL weak (relaxed: ADX 22, RVOL 0.36): 1</t>
  </si>
  <si>
    <t xml:space="preserve">   rejected - ADX/RVOL weak (relaxed: ADX 46, RVOL 0.46): 1</t>
  </si>
  <si>
    <t xml:space="preserve">   rejected - extended/spiking (even relaxed): 7</t>
  </si>
  <si>
    <t xml:space="preserve">   rejected - ADX/RVOL weak (relaxed: ADX 19, RVOL 0.18): 1</t>
  </si>
  <si>
    <t xml:space="preserve">   rejected - ADX/RVOL weak (relaxed: ADX 30, RVOL 0.30): 1</t>
  </si>
  <si>
    <t xml:space="preserve">   rejected - ADX/RVOL weak (relaxed: ADX 40, RVOL 0.47): 1</t>
  </si>
  <si>
    <t xml:space="preserve">   rejected - ADX/RVOL weak (relaxed: ADX 27, RVOL 0.30): 1</t>
  </si>
  <si>
    <t xml:space="preserve">   rejected - ADX/RVOL weak (relaxed: ADX 32, RVOL 0.28): 1</t>
  </si>
  <si>
    <t xml:space="preserve">   rejected - ADX/RVOL weak (relaxed: ADX 17, RVOL 0.21): 1</t>
  </si>
  <si>
    <t xml:space="preserve">   rejected - ADX/RVOL weak (relaxed: ADX 27, RVOL 0.41): 1</t>
  </si>
  <si>
    <t xml:space="preserve">   rejected - ADX/RVOL weak (relaxed: ADX 16, RVOL 0.49): 1</t>
  </si>
  <si>
    <t xml:space="preserve">   rejected - ADX/RVOL weak (relaxed: ADX 20, RVOL 0.50): 1</t>
  </si>
  <si>
    <t xml:space="preserve">   rejected - ADX/RVOL weak (relaxed: ADX 33, RVOL 0.37): 1</t>
  </si>
  <si>
    <t xml:space="preserve">   rejected - ADX/RVOL weak (relaxed: ADX 39, RVOL 0.27): 1</t>
  </si>
  <si>
    <t xml:space="preserve">   rejected - ADX/RVOL weak (relaxed: ADX 12, RVOL 0.35): 1</t>
  </si>
  <si>
    <t xml:space="preserve">   rejected - ADX/RVOL weak (relaxed: ADX 28, RVOL 0.34): 1</t>
  </si>
  <si>
    <t xml:space="preserve">   rejected - ADX/RVOL weak (relaxed: ADX 18, RVOL 0.48): 1</t>
  </si>
  <si>
    <t xml:space="preserve">   rejected - ADX/RVOL weak (relaxed: ADX 11, RVOL 0.91): 1</t>
  </si>
  <si>
    <t xml:space="preserve">   rejected - ADX/RVOL weak (relaxed: ADX 19, RVOL 0.46): 1</t>
  </si>
  <si>
    <t xml:space="preserve">   rejected - ADX/RVOL weak (relaxed: ADX 30, RVOL 0.46): 1</t>
  </si>
  <si>
    <t xml:space="preserve">   rejected - ADX/RVOL weak (relaxed: ADX 31, RVOL 0.45): 1</t>
  </si>
  <si>
    <t xml:space="preserve">   rejected - ADX/RVOL weak (relaxed: ADX 28, RVOL 0.25): 1</t>
  </si>
  <si>
    <t xml:space="preserve">   rejected - ADX/RVOL weak (relaxed: ADX 26, RVOL 0.37): 1</t>
  </si>
  <si>
    <t xml:space="preserve">   rejected - ADX/RVOL weak (relaxed: ADX 30, RVOL 0.35): 1</t>
  </si>
  <si>
    <t xml:space="preserve">   rejected - ADX/RVOL weak (relaxed: ADX 40, RVOL 0.39): 1</t>
  </si>
  <si>
    <t xml:space="preserve">   rejected - ADX/RVOL weak (relaxed: ADX 32, RVOL 0.45): 1</t>
  </si>
  <si>
    <t xml:space="preserve">   rejected - ADX/RVOL weak (relaxed: ADX 51, RVOL 0.43): 1</t>
  </si>
  <si>
    <t xml:space="preserve">   rejected - ADX/RVOL weak (relaxed: ADX 42, RVOL 0.16): 1</t>
  </si>
  <si>
    <t xml:space="preserve">   rejected - ADX/RVOL weak (relaxed: ADX 38, RVOL 0.31): 1</t>
  </si>
  <si>
    <t>3. Passed technical filters: 90</t>
  </si>
  <si>
    <t>4. Shortlisted for news/fundamentals: 45</t>
  </si>
  <si>
    <t>5. Final SWING PICKS: 15</t>
  </si>
  <si>
    <t>6. WATCHLIST: 20</t>
  </si>
  <si>
    <t>If too few stocks qualify, relax in CONFIG: MIN_SCORE (60-&gt;55), RSI_MIN, ADX_MIN, ATR_PCT_MIN, or use --universe NIFTY500.</t>
  </si>
  <si>
    <t>didn't get the entry yet</t>
  </si>
  <si>
    <t>buy price hit then down, but didn't hit SL</t>
  </si>
  <si>
    <t>gain 4% in a day but didn't hit target yet</t>
  </si>
  <si>
    <t>gain 2.5% but didn't hit target</t>
  </si>
  <si>
    <t>buying price hit then loss by 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</si>
</sst>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6"/>
      <name val="Arial"/>
    </font>
    <font>
      <i/>
      <sz val="10"/>
      <name val="Arial"/>
    </font>
    <font>
      <b/>
      <sz val="10"/>
      <color rgb="FFFFFFFF"/>
      <name val="Arial"/>
    </font>
    <font>
      <sz val="10"/>
      <name val="Arial"/>
    </font>
    <font>
      <u/>
      <sz val="10"/>
      <color rgb="FF0563C1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3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2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6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seindia.com/companies-listing/corporate-filings-announcements?symbol=PTCIL&amp;tabIndex=equity" TargetMode="External"/><Relationship Id="rId13" Type="http://schemas.openxmlformats.org/officeDocument/2006/relationships/hyperlink" Target="https://www.nseindia.com/companies-listing/corporate-filings-announcements?symbol=DYNAMATECH&amp;tabIndex=equity" TargetMode="External"/><Relationship Id="rId3" Type="http://schemas.openxmlformats.org/officeDocument/2006/relationships/hyperlink" Target="https://www.nseindia.com/companies-listing/corporate-filings-announcements?symbol=TFCILTD&amp;tabIndex=equity" TargetMode="External"/><Relationship Id="rId7" Type="http://schemas.openxmlformats.org/officeDocument/2006/relationships/hyperlink" Target="https://www.nseindia.com/companies-listing/corporate-filings-announcements?symbol=NYKAA&amp;tabIndex=equity" TargetMode="External"/><Relationship Id="rId12" Type="http://schemas.openxmlformats.org/officeDocument/2006/relationships/hyperlink" Target="https://www.nseindia.com/companies-listing/corporate-filings-announcements?symbol=PWL&amp;tabIndex=equity" TargetMode="External"/><Relationship Id="rId2" Type="http://schemas.openxmlformats.org/officeDocument/2006/relationships/hyperlink" Target="https://www.nseindia.com/companies-listing/corporate-filings-announcements?symbol=THELEELA&amp;tabIndex=equity" TargetMode="External"/><Relationship Id="rId1" Type="http://schemas.openxmlformats.org/officeDocument/2006/relationships/hyperlink" Target="https://www.nseindia.com/companies-listing/corporate-filings-announcements?symbol=GLAND&amp;tabIndex=equity" TargetMode="External"/><Relationship Id="rId6" Type="http://schemas.openxmlformats.org/officeDocument/2006/relationships/hyperlink" Target="https://www.nseindia.com/companies-listing/corporate-filings-announcements?symbol=CHENNPETRO&amp;tabIndex=equity" TargetMode="External"/><Relationship Id="rId11" Type="http://schemas.openxmlformats.org/officeDocument/2006/relationships/hyperlink" Target="https://www.nseindia.com/companies-listing/corporate-filings-announcements?symbol=ATLANTAELE&amp;tabIndex=equity" TargetMode="External"/><Relationship Id="rId5" Type="http://schemas.openxmlformats.org/officeDocument/2006/relationships/hyperlink" Target="https://www.nseindia.com/companies-listing/corporate-filings-announcements?symbol=SHREEJISPG&amp;tabIndex=equity" TargetMode="External"/><Relationship Id="rId15" Type="http://schemas.openxmlformats.org/officeDocument/2006/relationships/hyperlink" Target="https://www.nseindia.com/companies-listing/corporate-filings-announcements?symbol=KMEW&amp;tabIndex=equity" TargetMode="External"/><Relationship Id="rId10" Type="http://schemas.openxmlformats.org/officeDocument/2006/relationships/hyperlink" Target="https://www.nseindia.com/companies-listing/corporate-filings-announcements?symbol=BBOX&amp;tabIndex=equity" TargetMode="External"/><Relationship Id="rId4" Type="http://schemas.openxmlformats.org/officeDocument/2006/relationships/hyperlink" Target="https://www.nseindia.com/companies-listing/corporate-filings-announcements?symbol=SKYGOLD&amp;tabIndex=equity" TargetMode="External"/><Relationship Id="rId9" Type="http://schemas.openxmlformats.org/officeDocument/2006/relationships/hyperlink" Target="https://www.nseindia.com/companies-listing/corporate-filings-announcements?symbol=AETHER&amp;tabIndex=equity" TargetMode="External"/><Relationship Id="rId14" Type="http://schemas.openxmlformats.org/officeDocument/2006/relationships/hyperlink" Target="https://www.nseindia.com/companies-listing/corporate-filings-announcements?symbol=ICIL&amp;tabIndex=equity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seindia.com/companies-listing/corporate-filings-announcements?symbol=QPOWER&amp;tabIndex=equity" TargetMode="External"/><Relationship Id="rId13" Type="http://schemas.openxmlformats.org/officeDocument/2006/relationships/hyperlink" Target="https://www.nseindia.com/companies-listing/corporate-filings-announcements?symbol=KARURVYSYA&amp;tabIndex=equity" TargetMode="External"/><Relationship Id="rId18" Type="http://schemas.openxmlformats.org/officeDocument/2006/relationships/hyperlink" Target="https://www.nseindia.com/companies-listing/corporate-filings-announcements?symbol=MEESHO&amp;tabIndex=equity" TargetMode="External"/><Relationship Id="rId3" Type="http://schemas.openxmlformats.org/officeDocument/2006/relationships/hyperlink" Target="https://www.nseindia.com/companies-listing/corporate-filings-announcements?symbol=TBOTEK&amp;tabIndex=equity" TargetMode="External"/><Relationship Id="rId7" Type="http://schemas.openxmlformats.org/officeDocument/2006/relationships/hyperlink" Target="https://www.nseindia.com/companies-listing/corporate-filings-announcements?symbol=KPIL&amp;tabIndex=equity" TargetMode="External"/><Relationship Id="rId12" Type="http://schemas.openxmlformats.org/officeDocument/2006/relationships/hyperlink" Target="https://www.nseindia.com/companies-listing/corporate-filings-announcements?symbol=AEQUS&amp;tabIndex=equity" TargetMode="External"/><Relationship Id="rId17" Type="http://schemas.openxmlformats.org/officeDocument/2006/relationships/hyperlink" Target="https://www.nseindia.com/companies-listing/corporate-filings-announcements?symbol=LLOYDSENGG&amp;tabIndex=equity" TargetMode="External"/><Relationship Id="rId2" Type="http://schemas.openxmlformats.org/officeDocument/2006/relationships/hyperlink" Target="https://www.nseindia.com/companies-listing/corporate-filings-announcements?symbol=USHAMART&amp;tabIndex=equity" TargetMode="External"/><Relationship Id="rId16" Type="http://schemas.openxmlformats.org/officeDocument/2006/relationships/hyperlink" Target="https://www.nseindia.com/companies-listing/corporate-filings-announcements?symbol=AXISCADES&amp;tabIndex=equity" TargetMode="External"/><Relationship Id="rId20" Type="http://schemas.openxmlformats.org/officeDocument/2006/relationships/hyperlink" Target="https://www.nseindia.com/companies-listing/corporate-filings-announcements?symbol=TDPOWERSYS&amp;tabIndex=equity" TargetMode="External"/><Relationship Id="rId1" Type="http://schemas.openxmlformats.org/officeDocument/2006/relationships/hyperlink" Target="https://www.nseindia.com/companies-listing/corporate-filings-announcements?symbol=PVRINOX&amp;tabIndex=equity" TargetMode="External"/><Relationship Id="rId6" Type="http://schemas.openxmlformats.org/officeDocument/2006/relationships/hyperlink" Target="https://www.nseindia.com/companies-listing/corporate-filings-announcements?symbol=KOTAKBANK&amp;tabIndex=equity" TargetMode="External"/><Relationship Id="rId11" Type="http://schemas.openxmlformats.org/officeDocument/2006/relationships/hyperlink" Target="https://www.nseindia.com/companies-listing/corporate-filings-announcements?symbol=ABDL&amp;tabIndex=equity" TargetMode="External"/><Relationship Id="rId5" Type="http://schemas.openxmlformats.org/officeDocument/2006/relationships/hyperlink" Target="https://www.nseindia.com/companies-listing/corporate-filings-announcements?symbol=GPPL&amp;tabIndex=equity" TargetMode="External"/><Relationship Id="rId15" Type="http://schemas.openxmlformats.org/officeDocument/2006/relationships/hyperlink" Target="https://www.nseindia.com/companies-listing/corporate-filings-announcements?symbol=HFCL&amp;tabIndex=equity" TargetMode="External"/><Relationship Id="rId10" Type="http://schemas.openxmlformats.org/officeDocument/2006/relationships/hyperlink" Target="https://www.nseindia.com/companies-listing/corporate-filings-announcements?symbol=BHEL&amp;tabIndex=equity" TargetMode="External"/><Relationship Id="rId19" Type="http://schemas.openxmlformats.org/officeDocument/2006/relationships/hyperlink" Target="https://www.nseindia.com/companies-listing/corporate-filings-announcements?symbol=PGIL&amp;tabIndex=equity" TargetMode="External"/><Relationship Id="rId4" Type="http://schemas.openxmlformats.org/officeDocument/2006/relationships/hyperlink" Target="https://www.nseindia.com/companies-listing/corporate-filings-announcements?symbol=GKSL&amp;tabIndex=equity" TargetMode="External"/><Relationship Id="rId9" Type="http://schemas.openxmlformats.org/officeDocument/2006/relationships/hyperlink" Target="https://www.nseindia.com/companies-listing/corporate-filings-announcements?symbol=RRKABEL&amp;tabIndex=equity" TargetMode="External"/><Relationship Id="rId14" Type="http://schemas.openxmlformats.org/officeDocument/2006/relationships/hyperlink" Target="https://www.nseindia.com/companies-listing/corporate-filings-announcements?symbol=NAZARA&amp;tabIndex=equ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9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AM20" sqref="AM20"/>
    </sheetView>
  </sheetViews>
  <sheetFormatPr defaultRowHeight="14.5" x14ac:dyDescent="0.35"/>
  <cols>
    <col min="1" max="1" width="6" customWidth="1"/>
    <col min="2" max="2" width="13" customWidth="1"/>
    <col min="3" max="3" width="28" customWidth="1"/>
    <col min="4" max="4" width="20" customWidth="1"/>
    <col min="5" max="5" width="21" customWidth="1"/>
    <col min="6" max="6" width="40" customWidth="1"/>
    <col min="7" max="7" width="9" customWidth="1"/>
    <col min="8" max="8" width="7" customWidth="1"/>
    <col min="9" max="31" width="12" customWidth="1"/>
    <col min="32" max="32" width="11" customWidth="1"/>
    <col min="33" max="33" width="13" customWidth="1"/>
    <col min="34" max="34" width="12" customWidth="1"/>
    <col min="35" max="35" width="55" customWidth="1"/>
    <col min="36" max="36" width="40" customWidth="1"/>
    <col min="37" max="37" width="90" customWidth="1"/>
    <col min="38" max="38" width="14" customWidth="1"/>
  </cols>
  <sheetData>
    <row r="1" spans="1:39" ht="20" x14ac:dyDescent="0.4">
      <c r="A1" s="1" t="s">
        <v>0</v>
      </c>
    </row>
    <row r="2" spans="1:39" x14ac:dyDescent="0.35">
      <c r="A2" s="2" t="s">
        <v>1</v>
      </c>
    </row>
    <row r="4" spans="1:39" ht="34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</row>
    <row r="5" spans="1:39" ht="37.5" x14ac:dyDescent="0.35">
      <c r="A5" s="4">
        <v>1</v>
      </c>
      <c r="B5" s="5" t="s">
        <v>40</v>
      </c>
      <c r="C5" s="6" t="s">
        <v>41</v>
      </c>
      <c r="D5" s="5" t="s">
        <v>42</v>
      </c>
      <c r="E5" s="5" t="s">
        <v>43</v>
      </c>
      <c r="F5" s="6" t="s">
        <v>44</v>
      </c>
      <c r="G5" s="4">
        <v>98</v>
      </c>
      <c r="H5" s="5" t="s">
        <v>45</v>
      </c>
      <c r="I5" s="7">
        <v>3150.60009765625</v>
      </c>
      <c r="J5" s="7">
        <v>3079.1</v>
      </c>
      <c r="K5" s="7">
        <v>3119.094096679687</v>
      </c>
      <c r="L5" s="7">
        <v>3182.106098632813</v>
      </c>
      <c r="M5" s="7">
        <v>2982.1194001635122</v>
      </c>
      <c r="N5" s="8">
        <v>5.347574819732662</v>
      </c>
      <c r="O5" s="7">
        <v>3371.1421044921881</v>
      </c>
      <c r="P5" s="7">
        <v>3465.6601074218752</v>
      </c>
      <c r="Q5" s="8">
        <v>1.309004592917496</v>
      </c>
      <c r="R5" s="8">
        <v>1.870006561310708</v>
      </c>
      <c r="S5" s="4">
        <v>5</v>
      </c>
      <c r="T5" s="4">
        <v>15753.00048828125</v>
      </c>
      <c r="U5" s="8">
        <v>49.180327868852459</v>
      </c>
      <c r="V5" s="8">
        <v>34.42622950819672</v>
      </c>
      <c r="W5" s="4">
        <v>61</v>
      </c>
      <c r="X5" s="8">
        <v>2.6631942958654911</v>
      </c>
      <c r="Y5" s="8">
        <v>67.836336558388894</v>
      </c>
      <c r="Z5" s="8">
        <v>27.210572050368221</v>
      </c>
      <c r="AA5" s="8">
        <v>2.9708748998514811</v>
      </c>
      <c r="AB5" s="8">
        <v>7.4410108641083106</v>
      </c>
      <c r="AC5" s="8">
        <v>27.189777712597031</v>
      </c>
      <c r="AD5" s="8">
        <v>13.94818031279075</v>
      </c>
      <c r="AE5" s="8">
        <v>-0.64332710008672134</v>
      </c>
      <c r="AF5" s="5"/>
      <c r="AG5" s="5" t="s">
        <v>46</v>
      </c>
      <c r="AH5" s="5" t="s">
        <v>47</v>
      </c>
      <c r="AI5" s="6" t="s">
        <v>48</v>
      </c>
      <c r="AJ5" s="6" t="s">
        <v>49</v>
      </c>
      <c r="AK5" s="6"/>
      <c r="AL5" s="9" t="s">
        <v>50</v>
      </c>
    </row>
    <row r="6" spans="1:39" ht="37.5" x14ac:dyDescent="0.35">
      <c r="A6" s="4">
        <v>2</v>
      </c>
      <c r="B6" s="5" t="s">
        <v>51</v>
      </c>
      <c r="C6" s="6" t="s">
        <v>52</v>
      </c>
      <c r="D6" s="5" t="s">
        <v>53</v>
      </c>
      <c r="E6" s="5" t="s">
        <v>43</v>
      </c>
      <c r="F6" s="6" t="s">
        <v>44</v>
      </c>
      <c r="G6" s="4">
        <v>94</v>
      </c>
      <c r="H6" s="5" t="s">
        <v>45</v>
      </c>
      <c r="I6" s="7">
        <v>602.45001220703125</v>
      </c>
      <c r="J6" s="7">
        <v>586.95000000000005</v>
      </c>
      <c r="K6" s="7">
        <v>596.42551208496093</v>
      </c>
      <c r="L6" s="7">
        <v>608.47451232910157</v>
      </c>
      <c r="M6" s="7">
        <v>563.29076141357427</v>
      </c>
      <c r="N6" s="8">
        <v>6.4999999999999902</v>
      </c>
      <c r="O6" s="7">
        <v>644.6215130615235</v>
      </c>
      <c r="P6" s="7">
        <v>662.69501342773447</v>
      </c>
      <c r="Q6" s="8">
        <v>1.07692307692308</v>
      </c>
      <c r="R6" s="8">
        <v>1.538461538461543</v>
      </c>
      <c r="S6" s="4">
        <v>25</v>
      </c>
      <c r="T6" s="4">
        <v>15061.250305175779</v>
      </c>
      <c r="U6" s="8">
        <v>52.380952380952387</v>
      </c>
      <c r="V6" s="8">
        <v>33.333333333333329</v>
      </c>
      <c r="W6" s="4">
        <v>21</v>
      </c>
      <c r="X6" s="8">
        <v>1.7182551410211571</v>
      </c>
      <c r="Y6" s="8">
        <v>68.607876803826215</v>
      </c>
      <c r="Z6" s="8">
        <v>32.242431751970521</v>
      </c>
      <c r="AA6" s="8">
        <v>3.8731952282365749</v>
      </c>
      <c r="AB6" s="8">
        <v>8.7356782746014652</v>
      </c>
      <c r="AC6" s="8">
        <v>25.353725459019351</v>
      </c>
      <c r="AD6" s="8">
        <v>15.2428477232839</v>
      </c>
      <c r="AE6" s="8">
        <v>-0.79044673412412836</v>
      </c>
      <c r="AF6" s="5"/>
      <c r="AG6" s="5"/>
      <c r="AH6" s="5" t="s">
        <v>47</v>
      </c>
      <c r="AI6" s="6" t="s">
        <v>54</v>
      </c>
      <c r="AJ6" s="6" t="s">
        <v>49</v>
      </c>
      <c r="AK6" s="6"/>
      <c r="AL6" s="9" t="s">
        <v>50</v>
      </c>
    </row>
    <row r="7" spans="1:39" ht="37.5" x14ac:dyDescent="0.35">
      <c r="A7" s="4">
        <v>3</v>
      </c>
      <c r="B7" s="5" t="s">
        <v>55</v>
      </c>
      <c r="C7" s="6"/>
      <c r="D7" s="5"/>
      <c r="E7" s="5" t="s">
        <v>43</v>
      </c>
      <c r="F7" s="6" t="s">
        <v>44</v>
      </c>
      <c r="G7" s="4">
        <v>89</v>
      </c>
      <c r="H7" s="5" t="s">
        <v>45</v>
      </c>
      <c r="I7" s="7">
        <v>152.24000549316409</v>
      </c>
      <c r="J7" s="7">
        <v>146.65</v>
      </c>
      <c r="K7" s="7">
        <v>150.7176054382324</v>
      </c>
      <c r="L7" s="7">
        <v>153.7624055480957</v>
      </c>
      <c r="M7" s="7">
        <v>142.34440513610841</v>
      </c>
      <c r="N7" s="8">
        <v>6.4999999999999947</v>
      </c>
      <c r="O7" s="7">
        <v>162.89680587768561</v>
      </c>
      <c r="P7" s="7">
        <v>167.46400604248049</v>
      </c>
      <c r="Q7" s="8">
        <v>1.076923076923078</v>
      </c>
      <c r="R7" s="8">
        <v>1.5384615384615421</v>
      </c>
      <c r="S7" s="4">
        <v>101</v>
      </c>
      <c r="T7" s="4">
        <v>15376.24055480957</v>
      </c>
      <c r="U7" s="8">
        <v>58.426966292134829</v>
      </c>
      <c r="V7" s="8">
        <v>46.067415730337082</v>
      </c>
      <c r="W7" s="4">
        <v>89</v>
      </c>
      <c r="X7" s="8">
        <v>1.6084759158153701</v>
      </c>
      <c r="Y7" s="8">
        <v>71.755388616196115</v>
      </c>
      <c r="Z7" s="8">
        <v>31.052576469714062</v>
      </c>
      <c r="AA7" s="8">
        <v>3.6265965621103922</v>
      </c>
      <c r="AB7" s="8">
        <v>6.2683312373710942</v>
      </c>
      <c r="AC7" s="8">
        <v>103.1275763899132</v>
      </c>
      <c r="AD7" s="8">
        <v>12.77550068605353</v>
      </c>
      <c r="AE7" s="8">
        <v>-1.1428535758674969</v>
      </c>
      <c r="AF7" s="5"/>
      <c r="AG7" s="5"/>
      <c r="AH7" s="5" t="s">
        <v>47</v>
      </c>
      <c r="AI7" s="6" t="s">
        <v>56</v>
      </c>
      <c r="AJ7" s="6" t="s">
        <v>57</v>
      </c>
      <c r="AK7" s="6"/>
      <c r="AL7" s="9" t="s">
        <v>50</v>
      </c>
    </row>
    <row r="8" spans="1:39" ht="37.5" x14ac:dyDescent="0.35">
      <c r="A8" s="4">
        <v>4</v>
      </c>
      <c r="B8" s="5" t="s">
        <v>58</v>
      </c>
      <c r="C8" s="6" t="s">
        <v>59</v>
      </c>
      <c r="D8" s="5" t="s">
        <v>60</v>
      </c>
      <c r="E8" s="5" t="s">
        <v>61</v>
      </c>
      <c r="F8" s="6" t="s">
        <v>62</v>
      </c>
      <c r="G8" s="4">
        <v>88</v>
      </c>
      <c r="H8" s="5" t="s">
        <v>45</v>
      </c>
      <c r="I8" s="7">
        <v>884.5</v>
      </c>
      <c r="J8" s="7">
        <v>884.5</v>
      </c>
      <c r="K8" s="7">
        <v>895.69478778076166</v>
      </c>
      <c r="L8" s="7">
        <v>908.22198760986316</v>
      </c>
      <c r="M8" s="7">
        <v>843.33109249511722</v>
      </c>
      <c r="N8" s="8">
        <v>6.4999999999999929</v>
      </c>
      <c r="O8" s="7">
        <v>965.09547483398444</v>
      </c>
      <c r="P8" s="7">
        <v>992.15422646484376</v>
      </c>
      <c r="Q8" s="8">
        <v>1.07692307692308</v>
      </c>
      <c r="R8" s="8">
        <v>1.538461538461541</v>
      </c>
      <c r="S8" s="4">
        <v>17</v>
      </c>
      <c r="T8" s="4">
        <v>15333.292590820311</v>
      </c>
      <c r="U8" s="8">
        <v>72</v>
      </c>
      <c r="V8" s="8">
        <v>65.333333333333329</v>
      </c>
      <c r="W8" s="4">
        <v>75</v>
      </c>
      <c r="X8" s="8">
        <v>2.592527333627773</v>
      </c>
      <c r="Y8" s="8">
        <v>70.537037707952294</v>
      </c>
      <c r="Z8" s="8">
        <v>24.819129904842619</v>
      </c>
      <c r="AA8" s="8">
        <v>4.1042933003095623</v>
      </c>
      <c r="AB8" s="8">
        <v>12.224826822478031</v>
      </c>
      <c r="AC8" s="8">
        <v>41.9059870563947</v>
      </c>
      <c r="AD8" s="8">
        <v>18.731996271160469</v>
      </c>
      <c r="AE8" s="8">
        <v>-1.9183841236578461</v>
      </c>
      <c r="AF8" s="5"/>
      <c r="AG8" s="5"/>
      <c r="AH8" s="5" t="s">
        <v>47</v>
      </c>
      <c r="AI8" s="6" t="s">
        <v>63</v>
      </c>
      <c r="AJ8" s="6" t="s">
        <v>64</v>
      </c>
      <c r="AK8" s="6"/>
      <c r="AL8" s="9" t="s">
        <v>50</v>
      </c>
    </row>
    <row r="9" spans="1:39" ht="37.5" x14ac:dyDescent="0.35">
      <c r="A9" s="4">
        <v>5</v>
      </c>
      <c r="B9" s="5" t="s">
        <v>65</v>
      </c>
      <c r="C9" s="6" t="s">
        <v>66</v>
      </c>
      <c r="D9" s="5" t="s">
        <v>67</v>
      </c>
      <c r="E9" s="5" t="s">
        <v>68</v>
      </c>
      <c r="F9" s="6" t="s">
        <v>69</v>
      </c>
      <c r="G9" s="4">
        <v>85</v>
      </c>
      <c r="H9" s="5" t="s">
        <v>45</v>
      </c>
      <c r="I9" s="7">
        <v>802.0999755859375</v>
      </c>
      <c r="J9" s="7">
        <v>800.75</v>
      </c>
      <c r="K9" s="7">
        <v>794.07897583007809</v>
      </c>
      <c r="L9" s="7">
        <v>810.12097534179691</v>
      </c>
      <c r="M9" s="7">
        <v>763.7428679466899</v>
      </c>
      <c r="N9" s="8">
        <v>4.7820856260751752</v>
      </c>
      <c r="O9" s="7">
        <v>858.24697387695312</v>
      </c>
      <c r="P9" s="7">
        <v>882.30997314453134</v>
      </c>
      <c r="Q9" s="8">
        <v>1.4637964577278271</v>
      </c>
      <c r="R9" s="8">
        <v>2.0911377967540412</v>
      </c>
      <c r="S9" s="4">
        <v>24</v>
      </c>
      <c r="T9" s="4">
        <v>19250.3994140625</v>
      </c>
      <c r="U9" s="8">
        <v>81.578947368421055</v>
      </c>
      <c r="V9" s="8">
        <v>63.157894736842103</v>
      </c>
      <c r="W9" s="4">
        <v>76</v>
      </c>
      <c r="X9" s="8">
        <v>1.91135763218101</v>
      </c>
      <c r="Y9" s="8">
        <v>81.99273274649569</v>
      </c>
      <c r="Z9" s="8">
        <v>30.723343783537651</v>
      </c>
      <c r="AA9" s="8">
        <v>2.6567142367084329</v>
      </c>
      <c r="AB9" s="8">
        <v>17.92986058876242</v>
      </c>
      <c r="AC9" s="8">
        <v>60.06784390663973</v>
      </c>
      <c r="AD9" s="8">
        <v>24.43703003744486</v>
      </c>
      <c r="AE9" s="8">
        <v>-0.73020104134436936</v>
      </c>
      <c r="AF9" s="5"/>
      <c r="AG9" s="5"/>
      <c r="AH9" s="5" t="s">
        <v>47</v>
      </c>
      <c r="AI9" s="6" t="s">
        <v>70</v>
      </c>
      <c r="AJ9" s="6" t="s">
        <v>57</v>
      </c>
      <c r="AK9" s="6"/>
      <c r="AL9" s="9" t="s">
        <v>50</v>
      </c>
      <c r="AM9" s="6" t="s">
        <v>279</v>
      </c>
    </row>
    <row r="10" spans="1:39" ht="62.5" x14ac:dyDescent="0.35">
      <c r="A10" s="4">
        <v>6</v>
      </c>
      <c r="B10" s="5" t="s">
        <v>71</v>
      </c>
      <c r="C10" s="6" t="s">
        <v>72</v>
      </c>
      <c r="D10" s="5" t="s">
        <v>73</v>
      </c>
      <c r="E10" s="5" t="s">
        <v>68</v>
      </c>
      <c r="F10" s="6" t="s">
        <v>69</v>
      </c>
      <c r="G10" s="4">
        <v>82</v>
      </c>
      <c r="H10" s="5" t="s">
        <v>45</v>
      </c>
      <c r="I10" s="7">
        <v>1531</v>
      </c>
      <c r="J10" s="7">
        <v>1531</v>
      </c>
      <c r="K10" s="7">
        <v>1515.69</v>
      </c>
      <c r="L10" s="7">
        <v>1546.31</v>
      </c>
      <c r="M10" s="7">
        <v>1431.4849999999999</v>
      </c>
      <c r="N10" s="8">
        <v>6.499999999999992</v>
      </c>
      <c r="O10" s="7">
        <v>1638.17</v>
      </c>
      <c r="P10" s="7">
        <v>1684.1</v>
      </c>
      <c r="Q10" s="8">
        <v>1.0769230769230791</v>
      </c>
      <c r="R10" s="8">
        <v>1.5384615384615421</v>
      </c>
      <c r="S10" s="4">
        <v>10</v>
      </c>
      <c r="T10" s="4">
        <v>15310</v>
      </c>
      <c r="U10" s="8">
        <v>71.05263157894737</v>
      </c>
      <c r="V10" s="8">
        <v>53.94736842105263</v>
      </c>
      <c r="W10" s="4">
        <v>76</v>
      </c>
      <c r="X10" s="8">
        <v>2.021957151132979</v>
      </c>
      <c r="Y10" s="8">
        <v>58.516800915585279</v>
      </c>
      <c r="Z10" s="8">
        <v>26.720290211340622</v>
      </c>
      <c r="AA10" s="8">
        <v>5.4077503125348034</v>
      </c>
      <c r="AB10" s="8">
        <v>7.0479689742354967</v>
      </c>
      <c r="AC10" s="8">
        <v>42.441313999461208</v>
      </c>
      <c r="AD10" s="8">
        <v>13.555138422917929</v>
      </c>
      <c r="AE10" s="8">
        <v>-8.7332339791356244</v>
      </c>
      <c r="AF10" s="5"/>
      <c r="AG10" s="5"/>
      <c r="AH10" s="5" t="s">
        <v>47</v>
      </c>
      <c r="AI10" s="6" t="s">
        <v>74</v>
      </c>
      <c r="AJ10" s="6" t="s">
        <v>75</v>
      </c>
      <c r="AK10" s="6"/>
      <c r="AL10" s="9" t="s">
        <v>50</v>
      </c>
      <c r="AM10" s="6" t="s">
        <v>280</v>
      </c>
    </row>
    <row r="11" spans="1:39" ht="37.5" x14ac:dyDescent="0.35">
      <c r="A11" s="4">
        <v>7</v>
      </c>
      <c r="B11" s="5" t="s">
        <v>76</v>
      </c>
      <c r="C11" s="6" t="s">
        <v>77</v>
      </c>
      <c r="D11" s="5" t="s">
        <v>53</v>
      </c>
      <c r="E11" s="5" t="s">
        <v>61</v>
      </c>
      <c r="F11" s="6" t="s">
        <v>78</v>
      </c>
      <c r="G11" s="4">
        <v>76</v>
      </c>
      <c r="H11" s="5" t="s">
        <v>45</v>
      </c>
      <c r="I11" s="7">
        <v>341.25</v>
      </c>
      <c r="J11" s="7">
        <v>332.3</v>
      </c>
      <c r="K11" s="7">
        <v>346.49614389038078</v>
      </c>
      <c r="L11" s="7">
        <v>351.34224380493163</v>
      </c>
      <c r="M11" s="7">
        <v>331.86053072627118</v>
      </c>
      <c r="N11" s="8">
        <v>4.8890010702114424</v>
      </c>
      <c r="O11" s="7">
        <v>373.34353741699221</v>
      </c>
      <c r="P11" s="7">
        <v>383.81111323242192</v>
      </c>
      <c r="Q11" s="8">
        <v>1.431785327814884</v>
      </c>
      <c r="R11" s="8">
        <v>2.045407611164118</v>
      </c>
      <c r="S11" s="4">
        <v>57</v>
      </c>
      <c r="T11" s="4">
        <v>19888.394049316401</v>
      </c>
      <c r="U11" s="8">
        <v>25.27472527472527</v>
      </c>
      <c r="V11" s="8">
        <v>14.285714285714279</v>
      </c>
      <c r="W11" s="4">
        <v>91</v>
      </c>
      <c r="X11" s="8">
        <v>1.262314294932992</v>
      </c>
      <c r="Y11" s="8">
        <v>56.124944839702209</v>
      </c>
      <c r="Z11" s="8">
        <v>18.740290229610402</v>
      </c>
      <c r="AA11" s="8">
        <v>2.7771531333146191</v>
      </c>
      <c r="AB11" s="8">
        <v>2.6315789473684288</v>
      </c>
      <c r="AC11" s="8">
        <v>7.3281921366296743</v>
      </c>
      <c r="AD11" s="8">
        <v>9.1387483960508664</v>
      </c>
      <c r="AE11" s="8">
        <v>-2.3744780668922938</v>
      </c>
      <c r="AF11" s="5"/>
      <c r="AG11" s="5" t="s">
        <v>79</v>
      </c>
      <c r="AH11" s="5" t="s">
        <v>47</v>
      </c>
      <c r="AI11" s="6" t="s">
        <v>80</v>
      </c>
      <c r="AJ11" s="6" t="s">
        <v>81</v>
      </c>
      <c r="AK11" s="6"/>
      <c r="AL11" s="9" t="s">
        <v>50</v>
      </c>
    </row>
    <row r="12" spans="1:39" ht="50" x14ac:dyDescent="0.35">
      <c r="A12" s="4">
        <v>8</v>
      </c>
      <c r="B12" s="5" t="s">
        <v>82</v>
      </c>
      <c r="C12" s="6" t="s">
        <v>83</v>
      </c>
      <c r="D12" s="5" t="s">
        <v>84</v>
      </c>
      <c r="E12" s="5" t="s">
        <v>61</v>
      </c>
      <c r="F12" s="6" t="s">
        <v>85</v>
      </c>
      <c r="G12" s="4">
        <v>76</v>
      </c>
      <c r="H12" s="5" t="s">
        <v>45</v>
      </c>
      <c r="I12" s="7">
        <v>24470</v>
      </c>
      <c r="J12" s="7">
        <v>24470</v>
      </c>
      <c r="K12" s="7">
        <v>24824.799999999999</v>
      </c>
      <c r="L12" s="7">
        <v>25172</v>
      </c>
      <c r="M12" s="7">
        <v>23431.219042764878</v>
      </c>
      <c r="N12" s="8">
        <v>6.2691250529438376</v>
      </c>
      <c r="O12" s="7">
        <v>26748.288</v>
      </c>
      <c r="P12" s="7">
        <v>27498.239999999991</v>
      </c>
      <c r="Q12" s="8">
        <v>1.1165832458092331</v>
      </c>
      <c r="R12" s="8">
        <v>1.595118922584617</v>
      </c>
      <c r="S12" s="4">
        <v>0</v>
      </c>
      <c r="T12" s="4">
        <v>0</v>
      </c>
      <c r="U12" s="8">
        <v>41.025641025641022</v>
      </c>
      <c r="V12" s="8">
        <v>26.92307692307692</v>
      </c>
      <c r="W12" s="4">
        <v>78</v>
      </c>
      <c r="X12" s="8">
        <v>1.225464343590285</v>
      </c>
      <c r="Y12" s="8">
        <v>66.822585758443893</v>
      </c>
      <c r="Z12" s="8">
        <v>38.807661068700739</v>
      </c>
      <c r="AA12" s="8">
        <v>3.558055117911072</v>
      </c>
      <c r="AB12" s="8">
        <v>3.0098926541780591</v>
      </c>
      <c r="AC12" s="8">
        <v>41.004955629825979</v>
      </c>
      <c r="AD12" s="8">
        <v>9.5170621028604963</v>
      </c>
      <c r="AE12" s="8">
        <v>-1.330645161290323</v>
      </c>
      <c r="AF12" s="5"/>
      <c r="AG12" s="5"/>
      <c r="AH12" s="5" t="s">
        <v>47</v>
      </c>
      <c r="AI12" s="6" t="s">
        <v>86</v>
      </c>
      <c r="AJ12" s="6" t="s">
        <v>57</v>
      </c>
      <c r="AK12" s="6"/>
      <c r="AL12" s="9" t="s">
        <v>50</v>
      </c>
    </row>
    <row r="13" spans="1:39" ht="50" x14ac:dyDescent="0.35">
      <c r="A13" s="4">
        <v>9</v>
      </c>
      <c r="B13" s="5" t="s">
        <v>87</v>
      </c>
      <c r="C13" s="6" t="s">
        <v>88</v>
      </c>
      <c r="D13" s="5" t="s">
        <v>89</v>
      </c>
      <c r="E13" s="5" t="s">
        <v>61</v>
      </c>
      <c r="F13" s="6" t="s">
        <v>90</v>
      </c>
      <c r="G13" s="4">
        <v>75</v>
      </c>
      <c r="H13" s="5" t="s">
        <v>45</v>
      </c>
      <c r="I13" s="7">
        <v>1787.599975585938</v>
      </c>
      <c r="J13" s="7">
        <v>1744.1</v>
      </c>
      <c r="K13" s="7">
        <v>1815.9140755615231</v>
      </c>
      <c r="L13" s="7">
        <v>1841.3114752197259</v>
      </c>
      <c r="M13" s="7">
        <v>1709.752944990234</v>
      </c>
      <c r="N13" s="8">
        <v>6.4999999999999991</v>
      </c>
      <c r="O13" s="7">
        <v>1956.6156696679691</v>
      </c>
      <c r="P13" s="7">
        <v>2011.474052929688</v>
      </c>
      <c r="Q13" s="8">
        <v>1.076923076923078</v>
      </c>
      <c r="R13" s="8">
        <v>1.538461538461541</v>
      </c>
      <c r="S13" s="4">
        <v>8</v>
      </c>
      <c r="T13" s="4">
        <v>14628.902203125001</v>
      </c>
      <c r="U13" s="8">
        <v>69.811320754716974</v>
      </c>
      <c r="V13" s="8">
        <v>50.943396226415103</v>
      </c>
      <c r="W13" s="4">
        <v>53</v>
      </c>
      <c r="X13" s="8">
        <v>0.7486537709455191</v>
      </c>
      <c r="Y13" s="8">
        <v>63.290998801642921</v>
      </c>
      <c r="Z13" s="8">
        <v>31.017895911056019</v>
      </c>
      <c r="AA13" s="8">
        <v>3.7223798313495609</v>
      </c>
      <c r="AB13" s="8">
        <v>9.9655513307699284</v>
      </c>
      <c r="AC13" s="8">
        <v>26.475162353771921</v>
      </c>
      <c r="AD13" s="8">
        <v>16.47272077945237</v>
      </c>
      <c r="AE13" s="8">
        <v>-1.460779469524043</v>
      </c>
      <c r="AF13" s="5"/>
      <c r="AG13" s="5"/>
      <c r="AH13" s="5" t="s">
        <v>47</v>
      </c>
      <c r="AI13" s="6" t="s">
        <v>91</v>
      </c>
      <c r="AJ13" s="6" t="s">
        <v>57</v>
      </c>
      <c r="AK13" s="6"/>
      <c r="AL13" s="9" t="s">
        <v>50</v>
      </c>
    </row>
    <row r="14" spans="1:39" ht="62.5" x14ac:dyDescent="0.35">
      <c r="A14" s="4">
        <v>10</v>
      </c>
      <c r="B14" s="5" t="s">
        <v>92</v>
      </c>
      <c r="C14" s="6" t="s">
        <v>93</v>
      </c>
      <c r="D14" s="5" t="s">
        <v>94</v>
      </c>
      <c r="E14" s="5" t="s">
        <v>68</v>
      </c>
      <c r="F14" s="6" t="s">
        <v>69</v>
      </c>
      <c r="G14" s="4">
        <v>75</v>
      </c>
      <c r="H14" s="5" t="s">
        <v>45</v>
      </c>
      <c r="I14" s="7">
        <v>856.54998779296875</v>
      </c>
      <c r="J14" s="7">
        <v>856.54998779296875</v>
      </c>
      <c r="K14" s="7">
        <v>847.98448791503904</v>
      </c>
      <c r="L14" s="7">
        <v>865.11548767089846</v>
      </c>
      <c r="M14" s="7">
        <v>800.8742385864258</v>
      </c>
      <c r="N14" s="8">
        <v>6.4999999999999973</v>
      </c>
      <c r="O14" s="7">
        <v>916.50848693847661</v>
      </c>
      <c r="P14" s="7">
        <v>942.20498657226574</v>
      </c>
      <c r="Q14" s="8">
        <v>1.076923076923078</v>
      </c>
      <c r="R14" s="8">
        <v>1.538461538461541</v>
      </c>
      <c r="S14" s="4">
        <v>17</v>
      </c>
      <c r="T14" s="4">
        <v>14561.349792480471</v>
      </c>
      <c r="U14" s="8">
        <v>43.39622641509434</v>
      </c>
      <c r="V14" s="8">
        <v>39.622641509433961</v>
      </c>
      <c r="W14" s="4">
        <v>53</v>
      </c>
      <c r="X14" s="8">
        <v>2.177227596872668</v>
      </c>
      <c r="Y14" s="8">
        <v>60.200656975111769</v>
      </c>
      <c r="Z14" s="8">
        <v>35.949778649559008</v>
      </c>
      <c r="AA14" s="8">
        <v>5.053413563415682</v>
      </c>
      <c r="AB14" s="8">
        <v>10.62964001200759</v>
      </c>
      <c r="AC14" s="8">
        <v>-8.1925997964547914</v>
      </c>
      <c r="AD14" s="8">
        <v>17.136809460690031</v>
      </c>
      <c r="AE14" s="8">
        <v>-22.238378363606689</v>
      </c>
      <c r="AF14" s="5"/>
      <c r="AG14" s="5"/>
      <c r="AH14" s="5" t="s">
        <v>47</v>
      </c>
      <c r="AI14" s="6" t="s">
        <v>95</v>
      </c>
      <c r="AJ14" s="6" t="s">
        <v>75</v>
      </c>
      <c r="AK14" s="6"/>
      <c r="AL14" s="9" t="s">
        <v>50</v>
      </c>
      <c r="AM14" s="6" t="s">
        <v>281</v>
      </c>
    </row>
    <row r="15" spans="1:39" ht="37.5" x14ac:dyDescent="0.35">
      <c r="A15" s="4">
        <v>11</v>
      </c>
      <c r="B15" s="5" t="s">
        <v>96</v>
      </c>
      <c r="C15" s="6" t="s">
        <v>97</v>
      </c>
      <c r="D15" s="5" t="s">
        <v>84</v>
      </c>
      <c r="E15" s="5" t="s">
        <v>98</v>
      </c>
      <c r="F15" s="6" t="s">
        <v>44</v>
      </c>
      <c r="G15" s="4">
        <v>74</v>
      </c>
      <c r="H15" s="5" t="s">
        <v>99</v>
      </c>
      <c r="I15" s="7">
        <v>1875.800048828125</v>
      </c>
      <c r="J15" s="7">
        <v>1806.6</v>
      </c>
      <c r="K15" s="7">
        <v>1857.0420483398441</v>
      </c>
      <c r="L15" s="7">
        <v>1894.5580493164059</v>
      </c>
      <c r="M15" s="7">
        <v>1753.8730456542969</v>
      </c>
      <c r="N15" s="8">
        <v>6.4999999999999991</v>
      </c>
      <c r="O15" s="7">
        <v>2007.1060522460939</v>
      </c>
      <c r="P15" s="7">
        <v>2063.3800537109378</v>
      </c>
      <c r="Q15" s="8">
        <v>1.076923076923078</v>
      </c>
      <c r="R15" s="8">
        <v>1.538461538461541</v>
      </c>
      <c r="S15" s="4">
        <v>8</v>
      </c>
      <c r="T15" s="4">
        <v>15006.400390625</v>
      </c>
      <c r="U15" s="8">
        <v>82.857142857142861</v>
      </c>
      <c r="V15" s="8">
        <v>68.571428571428569</v>
      </c>
      <c r="W15" s="4">
        <v>35</v>
      </c>
      <c r="X15" s="8">
        <v>2.0167355236502882</v>
      </c>
      <c r="Y15" s="8">
        <v>62.277495128253207</v>
      </c>
      <c r="Z15" s="8">
        <v>22.623310025324422</v>
      </c>
      <c r="AA15" s="8">
        <v>4.7194278586668972</v>
      </c>
      <c r="AB15" s="8">
        <v>-0.31354107970698042</v>
      </c>
      <c r="AC15" s="8">
        <v>13.499128955504419</v>
      </c>
      <c r="AD15" s="8">
        <v>6.1936283689754568</v>
      </c>
      <c r="AE15" s="8">
        <v>-12.85887003022553</v>
      </c>
      <c r="AF15" s="5"/>
      <c r="AG15" s="5"/>
      <c r="AH15" s="5" t="s">
        <v>47</v>
      </c>
      <c r="AI15" s="6" t="s">
        <v>100</v>
      </c>
      <c r="AJ15" s="6" t="s">
        <v>49</v>
      </c>
      <c r="AK15" s="6"/>
      <c r="AL15" s="9" t="s">
        <v>50</v>
      </c>
    </row>
    <row r="16" spans="1:39" ht="50" x14ac:dyDescent="0.35">
      <c r="A16" s="4">
        <v>12</v>
      </c>
      <c r="B16" s="5" t="s">
        <v>101</v>
      </c>
      <c r="C16" s="6" t="s">
        <v>102</v>
      </c>
      <c r="D16" s="5" t="s">
        <v>53</v>
      </c>
      <c r="E16" s="5" t="s">
        <v>68</v>
      </c>
      <c r="F16" s="6" t="s">
        <v>69</v>
      </c>
      <c r="G16" s="4">
        <v>74</v>
      </c>
      <c r="H16" s="5" t="s">
        <v>99</v>
      </c>
      <c r="I16" s="7">
        <v>140.47999572753909</v>
      </c>
      <c r="J16" s="7">
        <v>140.47999572753909</v>
      </c>
      <c r="K16" s="7">
        <v>139.07519577026369</v>
      </c>
      <c r="L16" s="7">
        <v>141.88479568481449</v>
      </c>
      <c r="M16" s="7">
        <v>131.348796005249</v>
      </c>
      <c r="N16" s="8">
        <v>6.4999999999999973</v>
      </c>
      <c r="O16" s="7">
        <v>150.31359542846681</v>
      </c>
      <c r="P16" s="7">
        <v>154.52799530029299</v>
      </c>
      <c r="Q16" s="8">
        <v>1.0769230769230791</v>
      </c>
      <c r="R16" s="8">
        <v>1.538461538461541</v>
      </c>
      <c r="S16" s="4">
        <v>109</v>
      </c>
      <c r="T16" s="4">
        <v>15312.31953430176</v>
      </c>
      <c r="U16" s="5"/>
      <c r="V16" s="5"/>
      <c r="W16" s="4">
        <v>3</v>
      </c>
      <c r="X16" s="8">
        <v>1.2667410805295121</v>
      </c>
      <c r="Y16" s="8">
        <v>61.719566264958431</v>
      </c>
      <c r="Z16" s="8">
        <v>20.179443605884121</v>
      </c>
      <c r="AA16" s="8">
        <v>4.5882372375681042</v>
      </c>
      <c r="AB16" s="8">
        <v>8.3365448532740416</v>
      </c>
      <c r="AC16" s="8">
        <v>-7.2004285927401268</v>
      </c>
      <c r="AD16" s="8">
        <v>14.84371430195648</v>
      </c>
      <c r="AE16" s="8">
        <v>-13.27860302253815</v>
      </c>
      <c r="AF16" s="5"/>
      <c r="AG16" s="5"/>
      <c r="AH16" s="5" t="s">
        <v>47</v>
      </c>
      <c r="AI16" s="6" t="s">
        <v>103</v>
      </c>
      <c r="AJ16" s="6" t="s">
        <v>49</v>
      </c>
      <c r="AK16" s="6"/>
      <c r="AL16" s="9" t="s">
        <v>50</v>
      </c>
      <c r="AM16" s="6" t="s">
        <v>282</v>
      </c>
    </row>
    <row r="17" spans="1:39" ht="37.5" x14ac:dyDescent="0.35">
      <c r="A17" s="4">
        <v>13</v>
      </c>
      <c r="B17" s="5" t="s">
        <v>104</v>
      </c>
      <c r="C17" s="6" t="s">
        <v>105</v>
      </c>
      <c r="D17" s="5" t="s">
        <v>84</v>
      </c>
      <c r="E17" s="5" t="s">
        <v>98</v>
      </c>
      <c r="F17" s="6" t="s">
        <v>44</v>
      </c>
      <c r="G17" s="4">
        <v>73</v>
      </c>
      <c r="H17" s="5" t="s">
        <v>99</v>
      </c>
      <c r="I17" s="7">
        <v>13723</v>
      </c>
      <c r="J17" s="7">
        <v>13391</v>
      </c>
      <c r="K17" s="7">
        <v>13585.77</v>
      </c>
      <c r="L17" s="7">
        <v>13860.23</v>
      </c>
      <c r="M17" s="7">
        <v>12831.004999999999</v>
      </c>
      <c r="N17" s="8">
        <v>6.499999999999992</v>
      </c>
      <c r="O17" s="7">
        <v>14683.61</v>
      </c>
      <c r="P17" s="7">
        <v>15095.3</v>
      </c>
      <c r="Q17" s="8">
        <v>1.0769230769230791</v>
      </c>
      <c r="R17" s="8">
        <v>1.538461538461541</v>
      </c>
      <c r="S17" s="4">
        <v>1</v>
      </c>
      <c r="T17" s="4">
        <v>13723</v>
      </c>
      <c r="U17" s="8">
        <v>53.061224489795919</v>
      </c>
      <c r="V17" s="8">
        <v>32.653061224489797</v>
      </c>
      <c r="W17" s="4">
        <v>49</v>
      </c>
      <c r="X17" s="8">
        <v>0.99959181668673713</v>
      </c>
      <c r="Y17" s="8">
        <v>68.425649218523418</v>
      </c>
      <c r="Z17" s="8">
        <v>46.611343270787557</v>
      </c>
      <c r="AA17" s="8">
        <v>3.684531103056004</v>
      </c>
      <c r="AB17" s="8">
        <v>17.753561009095598</v>
      </c>
      <c r="AC17" s="8">
        <v>30.156201127232649</v>
      </c>
      <c r="AD17" s="8">
        <v>24.260730457778031</v>
      </c>
      <c r="AE17" s="8">
        <v>-4.7609133180650964</v>
      </c>
      <c r="AF17" s="5"/>
      <c r="AG17" s="5"/>
      <c r="AH17" s="5" t="s">
        <v>47</v>
      </c>
      <c r="AI17" s="6" t="s">
        <v>106</v>
      </c>
      <c r="AJ17" s="6" t="s">
        <v>57</v>
      </c>
      <c r="AK17" s="6"/>
      <c r="AL17" s="9" t="s">
        <v>50</v>
      </c>
    </row>
    <row r="18" spans="1:39" ht="50" x14ac:dyDescent="0.35">
      <c r="A18" s="4">
        <v>14</v>
      </c>
      <c r="B18" s="5" t="s">
        <v>107</v>
      </c>
      <c r="C18" s="6" t="s">
        <v>108</v>
      </c>
      <c r="D18" s="5" t="s">
        <v>109</v>
      </c>
      <c r="E18" s="5" t="s">
        <v>98</v>
      </c>
      <c r="F18" s="6" t="s">
        <v>44</v>
      </c>
      <c r="G18" s="4">
        <v>73</v>
      </c>
      <c r="H18" s="5" t="s">
        <v>99</v>
      </c>
      <c r="I18" s="7">
        <v>471.10000610351563</v>
      </c>
      <c r="J18" s="7">
        <v>449</v>
      </c>
      <c r="K18" s="7">
        <v>466.38900604248039</v>
      </c>
      <c r="L18" s="7">
        <v>475.8110061645508</v>
      </c>
      <c r="M18" s="7">
        <v>440.47850570678708</v>
      </c>
      <c r="N18" s="8">
        <v>6.4999999999999947</v>
      </c>
      <c r="O18" s="7">
        <v>504.07700653076182</v>
      </c>
      <c r="P18" s="7">
        <v>518.21000671386719</v>
      </c>
      <c r="Q18" s="8">
        <v>1.0769230769230791</v>
      </c>
      <c r="R18" s="8">
        <v>1.5384615384615401</v>
      </c>
      <c r="S18" s="4">
        <v>32</v>
      </c>
      <c r="T18" s="4">
        <v>15075.2001953125</v>
      </c>
      <c r="U18" s="8">
        <v>62.5</v>
      </c>
      <c r="V18" s="8">
        <v>58.333333333333343</v>
      </c>
      <c r="W18" s="4">
        <v>24</v>
      </c>
      <c r="X18" s="8">
        <v>0.5465320086698493</v>
      </c>
      <c r="Y18" s="8">
        <v>58.315613465753728</v>
      </c>
      <c r="Z18" s="8">
        <v>32.722082005718981</v>
      </c>
      <c r="AA18" s="8">
        <v>4.6699090810251356</v>
      </c>
      <c r="AB18" s="8">
        <v>4.7354421717660689</v>
      </c>
      <c r="AC18" s="8">
        <v>15.021264062196259</v>
      </c>
      <c r="AD18" s="8">
        <v>11.24261162044851</v>
      </c>
      <c r="AE18" s="8">
        <v>-3.0558711247009929</v>
      </c>
      <c r="AF18" s="5"/>
      <c r="AG18" s="5"/>
      <c r="AH18" s="5" t="s">
        <v>47</v>
      </c>
      <c r="AI18" s="6" t="s">
        <v>110</v>
      </c>
      <c r="AJ18" s="6" t="s">
        <v>57</v>
      </c>
      <c r="AK18" s="6"/>
      <c r="AL18" s="9" t="s">
        <v>50</v>
      </c>
    </row>
    <row r="19" spans="1:39" ht="50" x14ac:dyDescent="0.35">
      <c r="A19" s="4">
        <v>15</v>
      </c>
      <c r="B19" s="5" t="s">
        <v>111</v>
      </c>
      <c r="C19" s="6" t="s">
        <v>112</v>
      </c>
      <c r="D19" s="5" t="s">
        <v>67</v>
      </c>
      <c r="E19" s="5" t="s">
        <v>61</v>
      </c>
      <c r="F19" s="6" t="s">
        <v>69</v>
      </c>
      <c r="G19" s="4">
        <v>73</v>
      </c>
      <c r="H19" s="5" t="s">
        <v>99</v>
      </c>
      <c r="I19" s="7">
        <v>3214</v>
      </c>
      <c r="J19" s="7">
        <v>3256.7</v>
      </c>
      <c r="K19" s="7">
        <v>3245.2420000000002</v>
      </c>
      <c r="L19" s="7">
        <v>3290.63</v>
      </c>
      <c r="M19" s="7">
        <v>3055.52016</v>
      </c>
      <c r="N19" s="8">
        <v>6.4999999999999902</v>
      </c>
      <c r="O19" s="7">
        <v>3496.6915199999999</v>
      </c>
      <c r="P19" s="7">
        <v>3594.7296000000001</v>
      </c>
      <c r="Q19" s="8">
        <v>1.0769230769230791</v>
      </c>
      <c r="R19" s="8">
        <v>1.538461538461543</v>
      </c>
      <c r="S19" s="4">
        <v>4</v>
      </c>
      <c r="T19" s="4">
        <v>13071.744000000001</v>
      </c>
      <c r="U19" s="8">
        <v>77.777777777777786</v>
      </c>
      <c r="V19" s="8">
        <v>66.666666666666657</v>
      </c>
      <c r="W19" s="4">
        <v>63</v>
      </c>
      <c r="X19" s="8">
        <v>0.67089692099798803</v>
      </c>
      <c r="Y19" s="8">
        <v>65.252695263062208</v>
      </c>
      <c r="Z19" s="8">
        <v>19.33967687210481</v>
      </c>
      <c r="AA19" s="8">
        <v>4.5269370110694416</v>
      </c>
      <c r="AB19" s="8">
        <v>5.9537187139984349</v>
      </c>
      <c r="AC19" s="8">
        <v>43.680993353009526</v>
      </c>
      <c r="AD19" s="8">
        <v>12.46088816268087</v>
      </c>
      <c r="AE19" s="8">
        <v>-1.667431543521491</v>
      </c>
      <c r="AF19" s="5"/>
      <c r="AG19" s="5"/>
      <c r="AH19" s="5" t="s">
        <v>47</v>
      </c>
      <c r="AI19" s="6" t="s">
        <v>113</v>
      </c>
      <c r="AJ19" s="6" t="s">
        <v>57</v>
      </c>
      <c r="AK19" s="6"/>
      <c r="AL19" s="9" t="s">
        <v>50</v>
      </c>
      <c r="AM19" s="6" t="s">
        <v>283</v>
      </c>
    </row>
  </sheetData>
  <autoFilter ref="A4:AL19" xr:uid="{00000000-0009-0000-0000-000000000000}"/>
  <conditionalFormatting sqref="F5:F19">
    <cfRule type="expression" dxfId="5" priority="1">
      <formula>LEFT(F5,3)="BUY"</formula>
    </cfRule>
    <cfRule type="expression" dxfId="4" priority="2">
      <formula>LEFT(F5,4)="WAIT"</formula>
    </cfRule>
    <cfRule type="expression" dxfId="3" priority="3">
      <formula>OR(LEFT(F5,5)="AVOID",LEFT(F5,6)="REVIEW",LEFT(F5,4)="SKIP")</formula>
    </cfRule>
  </conditionalFormatting>
  <conditionalFormatting sqref="G5:G19">
    <cfRule type="colorScale" priority="4">
      <colorScale>
        <cfvo type="num" val="50"/>
        <cfvo type="num" val="65"/>
        <cfvo type="num" val="85"/>
        <color rgb="FFF8CBAD"/>
        <color rgb="FFFFEB84"/>
        <color rgb="FF63BE7B"/>
      </colorScale>
    </cfRule>
  </conditionalFormatting>
  <hyperlinks>
    <hyperlink ref="AL5" r:id="rId1" xr:uid="{00000000-0004-0000-0000-000000000000}"/>
    <hyperlink ref="AL6" r:id="rId2" xr:uid="{00000000-0004-0000-0000-000001000000}"/>
    <hyperlink ref="AL7" r:id="rId3" xr:uid="{00000000-0004-0000-0000-000002000000}"/>
    <hyperlink ref="AL8" r:id="rId4" xr:uid="{00000000-0004-0000-0000-000003000000}"/>
    <hyperlink ref="AL9" r:id="rId5" xr:uid="{00000000-0004-0000-0000-000004000000}"/>
    <hyperlink ref="AL10" r:id="rId6" xr:uid="{00000000-0004-0000-0000-000005000000}"/>
    <hyperlink ref="AL11" r:id="rId7" xr:uid="{00000000-0004-0000-0000-000006000000}"/>
    <hyperlink ref="AL12" r:id="rId8" xr:uid="{00000000-0004-0000-0000-000007000000}"/>
    <hyperlink ref="AL13" r:id="rId9" xr:uid="{00000000-0004-0000-0000-000008000000}"/>
    <hyperlink ref="AL14" r:id="rId10" xr:uid="{00000000-0004-0000-0000-000009000000}"/>
    <hyperlink ref="AL15" r:id="rId11" xr:uid="{00000000-0004-0000-0000-00000A000000}"/>
    <hyperlink ref="AL16" r:id="rId12" xr:uid="{00000000-0004-0000-0000-00000B000000}"/>
    <hyperlink ref="AL17" r:id="rId13" xr:uid="{00000000-0004-0000-0000-00000C000000}"/>
    <hyperlink ref="AL18" r:id="rId14" xr:uid="{00000000-0004-0000-0000-00000D000000}"/>
    <hyperlink ref="AL19" r:id="rId15" xr:uid="{00000000-0004-0000-0000-00000E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24"/>
  <sheetViews>
    <sheetView workbookViewId="0">
      <pane xSplit="2" ySplit="4" topLeftCell="AE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6" customWidth="1"/>
    <col min="2" max="2" width="13" customWidth="1"/>
    <col min="3" max="3" width="28" customWidth="1"/>
    <col min="4" max="4" width="20" customWidth="1"/>
    <col min="5" max="5" width="21" customWidth="1"/>
    <col min="6" max="6" width="40" customWidth="1"/>
    <col min="7" max="7" width="9" customWidth="1"/>
    <col min="8" max="8" width="7" customWidth="1"/>
    <col min="9" max="31" width="12" customWidth="1"/>
    <col min="32" max="32" width="11" customWidth="1"/>
    <col min="33" max="33" width="13" customWidth="1"/>
    <col min="34" max="34" width="12" customWidth="1"/>
    <col min="35" max="35" width="55" customWidth="1"/>
    <col min="36" max="36" width="40" customWidth="1"/>
    <col min="37" max="37" width="90" customWidth="1"/>
    <col min="38" max="38" width="14" customWidth="1"/>
  </cols>
  <sheetData>
    <row r="1" spans="1:38" ht="20" x14ac:dyDescent="0.4">
      <c r="A1" s="1" t="s">
        <v>114</v>
      </c>
    </row>
    <row r="2" spans="1:38" x14ac:dyDescent="0.35">
      <c r="A2" s="2" t="s">
        <v>1</v>
      </c>
    </row>
    <row r="4" spans="1:38" ht="34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</row>
    <row r="5" spans="1:38" ht="25" x14ac:dyDescent="0.35">
      <c r="A5" s="4">
        <v>1</v>
      </c>
      <c r="B5" s="5" t="s">
        <v>115</v>
      </c>
      <c r="C5" s="6" t="s">
        <v>116</v>
      </c>
      <c r="D5" s="5" t="s">
        <v>117</v>
      </c>
      <c r="E5" s="5" t="s">
        <v>68</v>
      </c>
      <c r="F5" s="6" t="s">
        <v>44</v>
      </c>
      <c r="G5" s="4">
        <v>72</v>
      </c>
      <c r="H5" s="5" t="s">
        <v>99</v>
      </c>
      <c r="I5" s="7">
        <v>1343.800048828125</v>
      </c>
      <c r="J5" s="7">
        <v>1309.2</v>
      </c>
      <c r="K5" s="7">
        <v>1330.362048339844</v>
      </c>
      <c r="L5" s="7">
        <v>1357.238049316406</v>
      </c>
      <c r="M5" s="7">
        <v>1256.4530456542971</v>
      </c>
      <c r="N5" s="8">
        <v>6.4999999999999867</v>
      </c>
      <c r="O5" s="7">
        <v>1437.8660522460939</v>
      </c>
      <c r="P5" s="7">
        <v>1478.180053710938</v>
      </c>
      <c r="Q5" s="8">
        <v>1.0769230769230811</v>
      </c>
      <c r="R5" s="8">
        <v>1.5384615384615441</v>
      </c>
      <c r="S5" s="4">
        <v>11</v>
      </c>
      <c r="T5" s="4">
        <v>14781.80053710938</v>
      </c>
      <c r="U5" s="5"/>
      <c r="V5" s="5"/>
      <c r="W5" s="4">
        <v>9</v>
      </c>
      <c r="X5" s="8">
        <v>6.8798879857018509</v>
      </c>
      <c r="Y5" s="8">
        <v>61.979515934467372</v>
      </c>
      <c r="Z5" s="8">
        <v>24.493121542127291</v>
      </c>
      <c r="AA5" s="8">
        <v>3.9851966888703618</v>
      </c>
      <c r="AB5" s="8">
        <v>9.5013121166527483</v>
      </c>
      <c r="AC5" s="8">
        <v>37.649172735275293</v>
      </c>
      <c r="AD5" s="8">
        <v>16.008481565335181</v>
      </c>
      <c r="AE5" s="8">
        <v>-2.25487335605089</v>
      </c>
      <c r="AF5" s="5"/>
      <c r="AG5" s="5" t="s">
        <v>118</v>
      </c>
      <c r="AH5" s="5" t="s">
        <v>47</v>
      </c>
      <c r="AI5" s="6" t="s">
        <v>119</v>
      </c>
      <c r="AJ5" s="6" t="s">
        <v>120</v>
      </c>
      <c r="AK5" s="6"/>
      <c r="AL5" s="9" t="s">
        <v>50</v>
      </c>
    </row>
    <row r="6" spans="1:38" ht="37.5" x14ac:dyDescent="0.35">
      <c r="A6" s="4">
        <v>2</v>
      </c>
      <c r="B6" s="5" t="s">
        <v>121</v>
      </c>
      <c r="C6" s="6" t="s">
        <v>122</v>
      </c>
      <c r="D6" s="5" t="s">
        <v>84</v>
      </c>
      <c r="E6" s="5" t="s">
        <v>123</v>
      </c>
      <c r="F6" s="6" t="s">
        <v>44</v>
      </c>
      <c r="G6" s="4">
        <v>72</v>
      </c>
      <c r="H6" s="5" t="s">
        <v>99</v>
      </c>
      <c r="I6" s="7">
        <v>520.25</v>
      </c>
      <c r="J6" s="7">
        <v>503.95</v>
      </c>
      <c r="K6" s="7">
        <v>508.24718122935423</v>
      </c>
      <c r="L6" s="7">
        <v>522.85124999999994</v>
      </c>
      <c r="M6" s="7">
        <v>490.26074333146511</v>
      </c>
      <c r="N6" s="8">
        <v>5.7643934009677942</v>
      </c>
      <c r="O6" s="7">
        <v>556.66750000000002</v>
      </c>
      <c r="P6" s="7">
        <v>572.27500000000009</v>
      </c>
      <c r="Q6" s="8">
        <v>1.214351539370085</v>
      </c>
      <c r="R6" s="8">
        <v>1.734787913385839</v>
      </c>
      <c r="S6" s="4">
        <v>33</v>
      </c>
      <c r="T6" s="4">
        <v>17168.25</v>
      </c>
      <c r="U6" s="8">
        <v>41.935483870967737</v>
      </c>
      <c r="V6" s="8">
        <v>19.35483870967742</v>
      </c>
      <c r="W6" s="4">
        <v>62</v>
      </c>
      <c r="X6" s="8">
        <v>0.93032853048223463</v>
      </c>
      <c r="Y6" s="8">
        <v>56.764202968172967</v>
      </c>
      <c r="Z6" s="8">
        <v>13.336663482997119</v>
      </c>
      <c r="AA6" s="8">
        <v>3.2024407783154429</v>
      </c>
      <c r="AB6" s="8">
        <v>1.186419390505566</v>
      </c>
      <c r="AC6" s="8">
        <v>7.0475939780503927</v>
      </c>
      <c r="AD6" s="8">
        <v>7.6935888391880036</v>
      </c>
      <c r="AE6" s="8">
        <v>-4.1190520810109543</v>
      </c>
      <c r="AF6" s="5"/>
      <c r="AG6" s="5"/>
      <c r="AH6" s="5" t="s">
        <v>47</v>
      </c>
      <c r="AI6" s="6" t="s">
        <v>124</v>
      </c>
      <c r="AJ6" s="6" t="s">
        <v>57</v>
      </c>
      <c r="AK6" s="6"/>
      <c r="AL6" s="9" t="s">
        <v>50</v>
      </c>
    </row>
    <row r="7" spans="1:38" ht="37.5" x14ac:dyDescent="0.35">
      <c r="A7" s="4">
        <v>3</v>
      </c>
      <c r="B7" s="5" t="s">
        <v>125</v>
      </c>
      <c r="C7" s="6" t="s">
        <v>126</v>
      </c>
      <c r="D7" s="5" t="s">
        <v>53</v>
      </c>
      <c r="E7" s="5" t="s">
        <v>61</v>
      </c>
      <c r="F7" s="6" t="s">
        <v>127</v>
      </c>
      <c r="G7" s="4">
        <v>71</v>
      </c>
      <c r="H7" s="5" t="s">
        <v>99</v>
      </c>
      <c r="I7" s="7">
        <v>1704.5</v>
      </c>
      <c r="J7" s="7">
        <v>1666.5</v>
      </c>
      <c r="K7" s="7">
        <v>1749.748</v>
      </c>
      <c r="L7" s="7">
        <v>1774.22</v>
      </c>
      <c r="M7" s="7">
        <v>1653.381948084002</v>
      </c>
      <c r="N7" s="8">
        <v>6.1636230474282341</v>
      </c>
      <c r="O7" s="7">
        <v>1885.3228799999999</v>
      </c>
      <c r="P7" s="7">
        <v>1938.1823999999999</v>
      </c>
      <c r="Q7" s="8">
        <v>1.135695668949247</v>
      </c>
      <c r="R7" s="8">
        <v>1.6224223842132111</v>
      </c>
      <c r="S7" s="4">
        <v>9</v>
      </c>
      <c r="T7" s="4">
        <v>15857.856</v>
      </c>
      <c r="U7" s="8">
        <v>27.777777777777779</v>
      </c>
      <c r="V7" s="8">
        <v>16.666666666666661</v>
      </c>
      <c r="W7" s="4">
        <v>18</v>
      </c>
      <c r="X7" s="8">
        <v>11.67668176208662</v>
      </c>
      <c r="Y7" s="8">
        <v>54.896567518343602</v>
      </c>
      <c r="Z7" s="8">
        <v>15.96547501900085</v>
      </c>
      <c r="AA7" s="8">
        <v>3.5397168252663791</v>
      </c>
      <c r="AB7" s="8">
        <v>0.92367667478421289</v>
      </c>
      <c r="AC7" s="8">
        <v>15.06007640807081</v>
      </c>
      <c r="AD7" s="8">
        <v>7.4308461234666501</v>
      </c>
      <c r="AE7" s="8">
        <v>-3.836389280677011</v>
      </c>
      <c r="AF7" s="5"/>
      <c r="AG7" s="5"/>
      <c r="AH7" s="5" t="s">
        <v>47</v>
      </c>
      <c r="AI7" s="6" t="s">
        <v>128</v>
      </c>
      <c r="AJ7" s="6" t="s">
        <v>81</v>
      </c>
      <c r="AK7" s="6"/>
      <c r="AL7" s="9" t="s">
        <v>50</v>
      </c>
    </row>
    <row r="8" spans="1:38" ht="37.5" x14ac:dyDescent="0.35">
      <c r="A8" s="4">
        <v>4</v>
      </c>
      <c r="B8" s="5" t="s">
        <v>129</v>
      </c>
      <c r="C8" s="6"/>
      <c r="D8" s="5"/>
      <c r="E8" s="5" t="s">
        <v>98</v>
      </c>
      <c r="F8" s="6" t="s">
        <v>44</v>
      </c>
      <c r="G8" s="4">
        <v>70</v>
      </c>
      <c r="H8" s="5" t="s">
        <v>99</v>
      </c>
      <c r="I8" s="7">
        <v>187.1199951171875</v>
      </c>
      <c r="J8" s="7">
        <v>180.71</v>
      </c>
      <c r="K8" s="7">
        <v>185.24879516601561</v>
      </c>
      <c r="L8" s="7">
        <v>188.99119506835939</v>
      </c>
      <c r="M8" s="7">
        <v>174.95719543457031</v>
      </c>
      <c r="N8" s="8">
        <v>6.5000000000000018</v>
      </c>
      <c r="O8" s="7">
        <v>200.21839477539061</v>
      </c>
      <c r="P8" s="7">
        <v>205.8319946289063</v>
      </c>
      <c r="Q8" s="8">
        <v>1.076923076923078</v>
      </c>
      <c r="R8" s="8">
        <v>1.5384615384615401</v>
      </c>
      <c r="S8" s="4">
        <v>82</v>
      </c>
      <c r="T8" s="4">
        <v>15343.83959960938</v>
      </c>
      <c r="U8" s="8">
        <v>68.965517241379317</v>
      </c>
      <c r="V8" s="8">
        <v>62.068965517241381</v>
      </c>
      <c r="W8" s="4">
        <v>29</v>
      </c>
      <c r="X8" s="8">
        <v>0.95503256072216192</v>
      </c>
      <c r="Y8" s="8">
        <v>61.251120252905011</v>
      </c>
      <c r="Z8" s="8">
        <v>49.421530133477198</v>
      </c>
      <c r="AA8" s="8">
        <v>5.5172769510713611</v>
      </c>
      <c r="AB8" s="8">
        <v>8.2807694929465825</v>
      </c>
      <c r="AC8" s="8">
        <v>45.562030863467022</v>
      </c>
      <c r="AD8" s="8">
        <v>14.787938941629021</v>
      </c>
      <c r="AE8" s="5"/>
      <c r="AF8" s="5"/>
      <c r="AG8" s="5"/>
      <c r="AH8" s="5" t="s">
        <v>47</v>
      </c>
      <c r="AI8" s="6" t="s">
        <v>130</v>
      </c>
      <c r="AJ8" s="6" t="s">
        <v>57</v>
      </c>
      <c r="AK8" s="6"/>
      <c r="AL8" s="9" t="s">
        <v>50</v>
      </c>
    </row>
    <row r="9" spans="1:38" ht="50" x14ac:dyDescent="0.35">
      <c r="A9" s="4">
        <v>5</v>
      </c>
      <c r="B9" s="5" t="s">
        <v>131</v>
      </c>
      <c r="C9" s="6" t="s">
        <v>132</v>
      </c>
      <c r="D9" s="5" t="s">
        <v>67</v>
      </c>
      <c r="E9" s="5" t="s">
        <v>123</v>
      </c>
      <c r="F9" s="6" t="s">
        <v>69</v>
      </c>
      <c r="G9" s="4">
        <v>70</v>
      </c>
      <c r="H9" s="5" t="s">
        <v>99</v>
      </c>
      <c r="I9" s="7">
        <v>166.63999938964841</v>
      </c>
      <c r="J9" s="7">
        <v>166.63999938964841</v>
      </c>
      <c r="K9" s="7">
        <v>164.4276695448529</v>
      </c>
      <c r="L9" s="7">
        <v>167.47319938659669</v>
      </c>
      <c r="M9" s="7">
        <v>157.85160156883589</v>
      </c>
      <c r="N9" s="8">
        <v>5.2738825330063444</v>
      </c>
      <c r="O9" s="7">
        <v>178.3047993469238</v>
      </c>
      <c r="P9" s="7">
        <v>183.30399932861329</v>
      </c>
      <c r="Q9" s="8">
        <v>1.327295395032186</v>
      </c>
      <c r="R9" s="8">
        <v>1.896136278617409</v>
      </c>
      <c r="S9" s="4">
        <v>113</v>
      </c>
      <c r="T9" s="4">
        <v>18830.31993103027</v>
      </c>
      <c r="U9" s="8">
        <v>52.631578947368418</v>
      </c>
      <c r="V9" s="8">
        <v>15.789473684210529</v>
      </c>
      <c r="W9" s="4">
        <v>19</v>
      </c>
      <c r="X9" s="8">
        <v>1.514050473324335</v>
      </c>
      <c r="Y9" s="8">
        <v>56.254006768120718</v>
      </c>
      <c r="Z9" s="8">
        <v>25.216673554858311</v>
      </c>
      <c r="AA9" s="8">
        <v>2.9299347405590819</v>
      </c>
      <c r="AB9" s="8">
        <v>3.5159670843133868</v>
      </c>
      <c r="AC9" s="8">
        <v>12.73625652153267</v>
      </c>
      <c r="AD9" s="8">
        <v>10.023136532995821</v>
      </c>
      <c r="AE9" s="8">
        <v>-14.17867982778006</v>
      </c>
      <c r="AF9" s="5"/>
      <c r="AG9" s="5"/>
      <c r="AH9" s="5" t="s">
        <v>47</v>
      </c>
      <c r="AI9" s="6" t="s">
        <v>133</v>
      </c>
      <c r="AJ9" s="6"/>
      <c r="AK9" s="6"/>
      <c r="AL9" s="9" t="s">
        <v>50</v>
      </c>
    </row>
    <row r="10" spans="1:38" ht="37.5" x14ac:dyDescent="0.35">
      <c r="A10" s="4">
        <v>6</v>
      </c>
      <c r="B10" s="5" t="s">
        <v>134</v>
      </c>
      <c r="C10" s="6" t="s">
        <v>135</v>
      </c>
      <c r="D10" s="5" t="s">
        <v>136</v>
      </c>
      <c r="E10" s="5" t="s">
        <v>61</v>
      </c>
      <c r="F10" s="6" t="s">
        <v>137</v>
      </c>
      <c r="G10" s="4">
        <v>70</v>
      </c>
      <c r="H10" s="5" t="s">
        <v>99</v>
      </c>
      <c r="I10" s="7">
        <v>435</v>
      </c>
      <c r="J10" s="7">
        <v>435</v>
      </c>
      <c r="K10" s="7">
        <v>441.94150000000002</v>
      </c>
      <c r="L10" s="7">
        <v>448.12249999999989</v>
      </c>
      <c r="M10" s="7">
        <v>427.35696224825671</v>
      </c>
      <c r="N10" s="8">
        <v>3.971632995322421</v>
      </c>
      <c r="O10" s="7">
        <v>476.18423999999987</v>
      </c>
      <c r="P10" s="7">
        <v>489.53519999999997</v>
      </c>
      <c r="Q10" s="8">
        <v>1.7624992058038169</v>
      </c>
      <c r="R10" s="8">
        <v>2.5178560082911701</v>
      </c>
      <c r="S10" s="4">
        <v>44</v>
      </c>
      <c r="T10" s="4">
        <v>19581.407999999999</v>
      </c>
      <c r="U10" s="8">
        <v>15.789473684210529</v>
      </c>
      <c r="V10" s="8">
        <v>7.0175438596491224</v>
      </c>
      <c r="W10" s="4">
        <v>57</v>
      </c>
      <c r="X10" s="8">
        <v>1.084116387173788</v>
      </c>
      <c r="Y10" s="8">
        <v>64.935647280984071</v>
      </c>
      <c r="Z10" s="8">
        <v>32.174923298317488</v>
      </c>
      <c r="AA10" s="8">
        <v>2.2573483718701501</v>
      </c>
      <c r="AB10" s="8">
        <v>3.0561463420876618</v>
      </c>
      <c r="AC10" s="8">
        <v>15.5378486055777</v>
      </c>
      <c r="AD10" s="8">
        <v>9.5633157907700994</v>
      </c>
      <c r="AE10" s="8">
        <v>-3.8501764401876688</v>
      </c>
      <c r="AF10" s="5"/>
      <c r="AG10" s="5" t="s">
        <v>138</v>
      </c>
      <c r="AH10" s="5" t="s">
        <v>47</v>
      </c>
      <c r="AI10" s="6" t="s">
        <v>139</v>
      </c>
      <c r="AJ10" s="6"/>
      <c r="AK10" s="6"/>
      <c r="AL10" s="9" t="s">
        <v>50</v>
      </c>
    </row>
    <row r="11" spans="1:38" ht="37.5" x14ac:dyDescent="0.35">
      <c r="A11" s="4">
        <v>7</v>
      </c>
      <c r="B11" s="5" t="s">
        <v>140</v>
      </c>
      <c r="C11" s="6" t="s">
        <v>141</v>
      </c>
      <c r="D11" s="5" t="s">
        <v>142</v>
      </c>
      <c r="E11" s="5" t="s">
        <v>61</v>
      </c>
      <c r="F11" s="6" t="s">
        <v>143</v>
      </c>
      <c r="G11" s="4">
        <v>70</v>
      </c>
      <c r="H11" s="5" t="s">
        <v>99</v>
      </c>
      <c r="I11" s="7">
        <v>1458.400024414062</v>
      </c>
      <c r="J11" s="7">
        <v>1401.5</v>
      </c>
      <c r="K11" s="7">
        <v>1491.49</v>
      </c>
      <c r="L11" s="7">
        <v>1512.35</v>
      </c>
      <c r="M11" s="7">
        <v>1422.1026729888099</v>
      </c>
      <c r="N11" s="8">
        <v>5.3143527625432441</v>
      </c>
      <c r="O11" s="7">
        <v>1607.0544</v>
      </c>
      <c r="P11" s="7">
        <v>1652.1120000000001</v>
      </c>
      <c r="Q11" s="8">
        <v>1.3171876826351441</v>
      </c>
      <c r="R11" s="8">
        <v>1.8816966894787741</v>
      </c>
      <c r="S11" s="4">
        <v>12</v>
      </c>
      <c r="T11" s="4">
        <v>18023.04</v>
      </c>
      <c r="U11" s="8">
        <v>27.659574468085111</v>
      </c>
      <c r="V11" s="8">
        <v>8.5106382978723403</v>
      </c>
      <c r="W11" s="4">
        <v>47</v>
      </c>
      <c r="X11" s="8">
        <v>1.0117894011679001</v>
      </c>
      <c r="Y11" s="8">
        <v>61.340947841303688</v>
      </c>
      <c r="Z11" s="8">
        <v>24.563111780803428</v>
      </c>
      <c r="AA11" s="8">
        <v>3.0405210304680552</v>
      </c>
      <c r="AB11" s="8">
        <v>3.6826425229068431</v>
      </c>
      <c r="AC11" s="8">
        <v>9.4566194604664524</v>
      </c>
      <c r="AD11" s="8">
        <v>10.189811971589281</v>
      </c>
      <c r="AE11" s="8">
        <v>-2.12080373059983</v>
      </c>
      <c r="AF11" s="5"/>
      <c r="AG11" s="5" t="s">
        <v>144</v>
      </c>
      <c r="AH11" s="5" t="s">
        <v>47</v>
      </c>
      <c r="AI11" s="6" t="s">
        <v>145</v>
      </c>
      <c r="AJ11" s="6"/>
      <c r="AK11" s="6"/>
      <c r="AL11" s="9" t="s">
        <v>50</v>
      </c>
    </row>
    <row r="12" spans="1:38" ht="37.5" x14ac:dyDescent="0.35">
      <c r="A12" s="4">
        <v>8</v>
      </c>
      <c r="B12" s="5" t="s">
        <v>146</v>
      </c>
      <c r="C12" s="6" t="s">
        <v>147</v>
      </c>
      <c r="D12" s="5" t="s">
        <v>84</v>
      </c>
      <c r="E12" s="5" t="s">
        <v>98</v>
      </c>
      <c r="F12" s="6" t="s">
        <v>44</v>
      </c>
      <c r="G12" s="4">
        <v>70</v>
      </c>
      <c r="H12" s="5" t="s">
        <v>99</v>
      </c>
      <c r="I12" s="7">
        <v>1615</v>
      </c>
      <c r="J12" s="7">
        <v>1532.2</v>
      </c>
      <c r="K12" s="7">
        <v>1598.85</v>
      </c>
      <c r="L12" s="7">
        <v>1631.15</v>
      </c>
      <c r="M12" s="7">
        <v>1510.0250000000001</v>
      </c>
      <c r="N12" s="8">
        <v>6.4999999999999947</v>
      </c>
      <c r="O12" s="7">
        <v>1728.05</v>
      </c>
      <c r="P12" s="7">
        <v>1776.5</v>
      </c>
      <c r="Q12" s="8">
        <v>1.07692307692308</v>
      </c>
      <c r="R12" s="8">
        <v>1.5384615384615421</v>
      </c>
      <c r="S12" s="4">
        <v>9</v>
      </c>
      <c r="T12" s="4">
        <v>14535</v>
      </c>
      <c r="U12" s="8">
        <v>83.333333333333343</v>
      </c>
      <c r="V12" s="8">
        <v>72.727272727272734</v>
      </c>
      <c r="W12" s="4">
        <v>66</v>
      </c>
      <c r="X12" s="8">
        <v>0.88885918244836826</v>
      </c>
      <c r="Y12" s="8">
        <v>61.376409114522048</v>
      </c>
      <c r="Z12" s="8">
        <v>24.115464656889351</v>
      </c>
      <c r="AA12" s="8">
        <v>4.7268961639548577</v>
      </c>
      <c r="AB12" s="8">
        <v>8.0777897237187304</v>
      </c>
      <c r="AC12" s="8">
        <v>46.985863667269577</v>
      </c>
      <c r="AD12" s="8">
        <v>14.58495917240117</v>
      </c>
      <c r="AE12" s="8">
        <v>-3.926234384295058</v>
      </c>
      <c r="AF12" s="5"/>
      <c r="AG12" s="5"/>
      <c r="AH12" s="5" t="s">
        <v>47</v>
      </c>
      <c r="AI12" s="6" t="s">
        <v>148</v>
      </c>
      <c r="AJ12" s="6" t="s">
        <v>57</v>
      </c>
      <c r="AK12" s="6"/>
      <c r="AL12" s="9" t="s">
        <v>50</v>
      </c>
    </row>
    <row r="13" spans="1:38" ht="37.5" x14ac:dyDescent="0.35">
      <c r="A13" s="4">
        <v>9</v>
      </c>
      <c r="B13" s="5" t="s">
        <v>149</v>
      </c>
      <c r="C13" s="6" t="s">
        <v>150</v>
      </c>
      <c r="D13" s="5" t="s">
        <v>84</v>
      </c>
      <c r="E13" s="5" t="s">
        <v>98</v>
      </c>
      <c r="F13" s="6" t="s">
        <v>69</v>
      </c>
      <c r="G13" s="4">
        <v>70</v>
      </c>
      <c r="H13" s="5" t="s">
        <v>99</v>
      </c>
      <c r="I13" s="7">
        <v>2696.39990234375</v>
      </c>
      <c r="J13" s="7">
        <v>2696.39990234375</v>
      </c>
      <c r="K13" s="7">
        <v>2669.4359033203118</v>
      </c>
      <c r="L13" s="7">
        <v>2723.3639013671882</v>
      </c>
      <c r="M13" s="7">
        <v>2521.1339086914058</v>
      </c>
      <c r="N13" s="8">
        <v>6.4999999999999973</v>
      </c>
      <c r="O13" s="7">
        <v>2885.1478955078128</v>
      </c>
      <c r="P13" s="7">
        <v>2966.0398925781251</v>
      </c>
      <c r="Q13" s="8">
        <v>1.0769230769230791</v>
      </c>
      <c r="R13" s="8">
        <v>1.538461538461539</v>
      </c>
      <c r="S13" s="4">
        <v>5</v>
      </c>
      <c r="T13" s="4">
        <v>13481.99951171875</v>
      </c>
      <c r="U13" s="8">
        <v>58.333333333333343</v>
      </c>
      <c r="V13" s="8">
        <v>41.666666666666671</v>
      </c>
      <c r="W13" s="4">
        <v>60</v>
      </c>
      <c r="X13" s="8">
        <v>0.73818677065265026</v>
      </c>
      <c r="Y13" s="8">
        <v>58.598910065792232</v>
      </c>
      <c r="Z13" s="8">
        <v>27.781646138329879</v>
      </c>
      <c r="AA13" s="8">
        <v>3.6511873620409632</v>
      </c>
      <c r="AB13" s="8">
        <v>12.957135940431771</v>
      </c>
      <c r="AC13" s="8">
        <v>22.191505959467591</v>
      </c>
      <c r="AD13" s="8">
        <v>19.464305389114209</v>
      </c>
      <c r="AE13" s="8">
        <v>-9.6320176211958319</v>
      </c>
      <c r="AF13" s="5"/>
      <c r="AG13" s="5"/>
      <c r="AH13" s="5" t="s">
        <v>47</v>
      </c>
      <c r="AI13" s="6" t="s">
        <v>151</v>
      </c>
      <c r="AJ13" s="6" t="s">
        <v>57</v>
      </c>
      <c r="AK13" s="6"/>
      <c r="AL13" s="9" t="s">
        <v>50</v>
      </c>
    </row>
    <row r="14" spans="1:38" ht="37.5" x14ac:dyDescent="0.35">
      <c r="A14" s="4">
        <v>10</v>
      </c>
      <c r="B14" s="5" t="s">
        <v>152</v>
      </c>
      <c r="C14" s="6" t="s">
        <v>153</v>
      </c>
      <c r="D14" s="5" t="s">
        <v>84</v>
      </c>
      <c r="E14" s="5" t="s">
        <v>123</v>
      </c>
      <c r="F14" s="6" t="s">
        <v>69</v>
      </c>
      <c r="G14" s="4">
        <v>69</v>
      </c>
      <c r="H14" s="5" t="s">
        <v>99</v>
      </c>
      <c r="I14" s="7">
        <v>429.60000610351563</v>
      </c>
      <c r="J14" s="7">
        <v>429.60000610351563</v>
      </c>
      <c r="K14" s="7">
        <v>427.36348664720538</v>
      </c>
      <c r="L14" s="7">
        <v>431.74800613403318</v>
      </c>
      <c r="M14" s="7">
        <v>404.81607932145482</v>
      </c>
      <c r="N14" s="8">
        <v>5.7690703980318307</v>
      </c>
      <c r="O14" s="7">
        <v>459.67200653076168</v>
      </c>
      <c r="P14" s="7">
        <v>472.56000671386721</v>
      </c>
      <c r="Q14" s="8">
        <v>1.2133670621159549</v>
      </c>
      <c r="R14" s="8">
        <v>1.733381517308507</v>
      </c>
      <c r="S14" s="4">
        <v>40</v>
      </c>
      <c r="T14" s="4">
        <v>17184.000244140621</v>
      </c>
      <c r="U14" s="8">
        <v>35.555555555555557</v>
      </c>
      <c r="V14" s="8">
        <v>20</v>
      </c>
      <c r="W14" s="4">
        <v>45</v>
      </c>
      <c r="X14" s="8">
        <v>1.584335330876532</v>
      </c>
      <c r="Y14" s="8">
        <v>51.74691371274394</v>
      </c>
      <c r="Z14" s="8">
        <v>17.654069644597531</v>
      </c>
      <c r="AA14" s="8">
        <v>3.2050391100176858</v>
      </c>
      <c r="AB14" s="8">
        <v>1.933798472042936</v>
      </c>
      <c r="AC14" s="8">
        <v>12.94177612402763</v>
      </c>
      <c r="AD14" s="8">
        <v>8.4409679207253738</v>
      </c>
      <c r="AE14" s="8">
        <v>-5.7791436337435549</v>
      </c>
      <c r="AF14" s="5"/>
      <c r="AG14" s="5" t="s">
        <v>154</v>
      </c>
      <c r="AH14" s="5" t="s">
        <v>47</v>
      </c>
      <c r="AI14" s="6" t="s">
        <v>155</v>
      </c>
      <c r="AJ14" s="6" t="s">
        <v>156</v>
      </c>
      <c r="AK14" s="6"/>
      <c r="AL14" s="9" t="s">
        <v>50</v>
      </c>
    </row>
    <row r="15" spans="1:38" ht="37.5" x14ac:dyDescent="0.35">
      <c r="A15" s="4">
        <v>11</v>
      </c>
      <c r="B15" s="5" t="s">
        <v>157</v>
      </c>
      <c r="C15" s="6" t="s">
        <v>158</v>
      </c>
      <c r="D15" s="5" t="s">
        <v>159</v>
      </c>
      <c r="E15" s="5" t="s">
        <v>123</v>
      </c>
      <c r="F15" s="6" t="s">
        <v>69</v>
      </c>
      <c r="G15" s="4">
        <v>68</v>
      </c>
      <c r="H15" s="5" t="s">
        <v>99</v>
      </c>
      <c r="I15" s="7">
        <v>693.45001220703125</v>
      </c>
      <c r="J15" s="7">
        <v>693.45001220703125</v>
      </c>
      <c r="K15" s="7">
        <v>677.22420171841611</v>
      </c>
      <c r="L15" s="7">
        <v>696.91726226806634</v>
      </c>
      <c r="M15" s="7">
        <v>648.37576141357431</v>
      </c>
      <c r="N15" s="8">
        <v>6.4999999999999867</v>
      </c>
      <c r="O15" s="7">
        <v>741.99151306152351</v>
      </c>
      <c r="P15" s="7">
        <v>762.79501342773449</v>
      </c>
      <c r="Q15" s="8">
        <v>1.0769230769230811</v>
      </c>
      <c r="R15" s="8">
        <v>1.5384615384615441</v>
      </c>
      <c r="S15" s="4">
        <v>22</v>
      </c>
      <c r="T15" s="4">
        <v>15255.900268554689</v>
      </c>
      <c r="U15" s="8">
        <v>55.405405405405403</v>
      </c>
      <c r="V15" s="8">
        <v>47.297297297297298</v>
      </c>
      <c r="W15" s="4">
        <v>74</v>
      </c>
      <c r="X15" s="8">
        <v>0.71325716179516785</v>
      </c>
      <c r="Y15" s="8">
        <v>57.664749667055197</v>
      </c>
      <c r="Z15" s="8">
        <v>26.135262861209721</v>
      </c>
      <c r="AA15" s="8">
        <v>3.9997859803400568</v>
      </c>
      <c r="AB15" s="8">
        <v>15.575002034505211</v>
      </c>
      <c r="AC15" s="8">
        <v>4.027908431513616</v>
      </c>
      <c r="AD15" s="8">
        <v>22.082171483187651</v>
      </c>
      <c r="AE15" s="8">
        <v>-8.0060993052858294</v>
      </c>
      <c r="AF15" s="5"/>
      <c r="AG15" s="5"/>
      <c r="AH15" s="5" t="s">
        <v>47</v>
      </c>
      <c r="AI15" s="6" t="s">
        <v>160</v>
      </c>
      <c r="AJ15" s="6" t="s">
        <v>161</v>
      </c>
      <c r="AK15" s="6"/>
      <c r="AL15" s="9" t="s">
        <v>50</v>
      </c>
    </row>
    <row r="16" spans="1:38" ht="37.5" x14ac:dyDescent="0.35">
      <c r="A16" s="4">
        <v>12</v>
      </c>
      <c r="B16" s="5" t="s">
        <v>162</v>
      </c>
      <c r="C16" s="6" t="s">
        <v>163</v>
      </c>
      <c r="D16" s="5" t="s">
        <v>84</v>
      </c>
      <c r="E16" s="5" t="s">
        <v>98</v>
      </c>
      <c r="F16" s="6" t="s">
        <v>69</v>
      </c>
      <c r="G16" s="4">
        <v>68</v>
      </c>
      <c r="H16" s="5" t="s">
        <v>99</v>
      </c>
      <c r="I16" s="7">
        <v>268</v>
      </c>
      <c r="J16" s="7">
        <v>268</v>
      </c>
      <c r="K16" s="7">
        <v>265.32</v>
      </c>
      <c r="L16" s="7">
        <v>270.68</v>
      </c>
      <c r="M16" s="7">
        <v>250.58</v>
      </c>
      <c r="N16" s="8">
        <v>6.4999999999999947</v>
      </c>
      <c r="O16" s="7">
        <v>286.76</v>
      </c>
      <c r="P16" s="7">
        <v>294.8</v>
      </c>
      <c r="Q16" s="8">
        <v>1.0769230769230771</v>
      </c>
      <c r="R16" s="8">
        <v>1.5384615384615401</v>
      </c>
      <c r="S16" s="4">
        <v>57</v>
      </c>
      <c r="T16" s="4">
        <v>15276</v>
      </c>
      <c r="U16" s="8">
        <v>72</v>
      </c>
      <c r="V16" s="8">
        <v>52</v>
      </c>
      <c r="W16" s="4">
        <v>25</v>
      </c>
      <c r="X16" s="8">
        <v>0.95677728804203399</v>
      </c>
      <c r="Y16" s="8">
        <v>57.905536230254818</v>
      </c>
      <c r="Z16" s="8">
        <v>29.387807362385381</v>
      </c>
      <c r="AA16" s="8">
        <v>4.8062604805466176</v>
      </c>
      <c r="AB16" s="8">
        <v>14.5984774226231</v>
      </c>
      <c r="AC16" s="8">
        <v>3.847790287116148</v>
      </c>
      <c r="AD16" s="8">
        <v>21.105646871305542</v>
      </c>
      <c r="AE16" s="8">
        <v>-9.0600648459675313</v>
      </c>
      <c r="AF16" s="5"/>
      <c r="AG16" s="5"/>
      <c r="AH16" s="5" t="s">
        <v>47</v>
      </c>
      <c r="AI16" s="6" t="s">
        <v>164</v>
      </c>
      <c r="AJ16" s="6" t="s">
        <v>57</v>
      </c>
      <c r="AK16" s="6"/>
      <c r="AL16" s="9" t="s">
        <v>50</v>
      </c>
    </row>
    <row r="17" spans="1:38" ht="37.5" x14ac:dyDescent="0.35">
      <c r="A17" s="4">
        <v>13</v>
      </c>
      <c r="B17" s="5" t="s">
        <v>165</v>
      </c>
      <c r="C17" s="6" t="s">
        <v>166</v>
      </c>
      <c r="D17" s="5" t="s">
        <v>136</v>
      </c>
      <c r="E17" s="5" t="s">
        <v>123</v>
      </c>
      <c r="F17" s="6" t="s">
        <v>69</v>
      </c>
      <c r="G17" s="4">
        <v>68</v>
      </c>
      <c r="H17" s="5" t="s">
        <v>99</v>
      </c>
      <c r="I17" s="7">
        <v>329.20001220703119</v>
      </c>
      <c r="J17" s="7">
        <v>329.20001220703119</v>
      </c>
      <c r="K17" s="7">
        <v>328.61323941156479</v>
      </c>
      <c r="L17" s="7">
        <v>330.84601226806637</v>
      </c>
      <c r="M17" s="7">
        <v>312.61441442329368</v>
      </c>
      <c r="N17" s="8">
        <v>5.038152238374451</v>
      </c>
      <c r="O17" s="7">
        <v>352.24401306152339</v>
      </c>
      <c r="P17" s="7">
        <v>362.12001342773442</v>
      </c>
      <c r="Q17" s="8">
        <v>1.389398269207232</v>
      </c>
      <c r="R17" s="8">
        <v>1.984854670296047</v>
      </c>
      <c r="S17" s="4">
        <v>60</v>
      </c>
      <c r="T17" s="4">
        <v>19752.000732421879</v>
      </c>
      <c r="U17" s="8">
        <v>48.913043478260867</v>
      </c>
      <c r="V17" s="8">
        <v>36.95652173913043</v>
      </c>
      <c r="W17" s="4">
        <v>92</v>
      </c>
      <c r="X17" s="8">
        <v>1.126045793382082</v>
      </c>
      <c r="Y17" s="8">
        <v>49.587045829604193</v>
      </c>
      <c r="Z17" s="8">
        <v>23.200468313874431</v>
      </c>
      <c r="AA17" s="8">
        <v>2.7989734657635812</v>
      </c>
      <c r="AB17" s="8">
        <v>-3.6581795591000499</v>
      </c>
      <c r="AC17" s="8">
        <v>12.21388243993038</v>
      </c>
      <c r="AD17" s="8">
        <v>2.8489898895823869</v>
      </c>
      <c r="AE17" s="8">
        <v>-8.2113431453042622</v>
      </c>
      <c r="AF17" s="5"/>
      <c r="AG17" s="5" t="s">
        <v>118</v>
      </c>
      <c r="AH17" s="5" t="s">
        <v>47</v>
      </c>
      <c r="AI17" s="6" t="s">
        <v>167</v>
      </c>
      <c r="AJ17" s="6" t="s">
        <v>57</v>
      </c>
      <c r="AK17" s="6"/>
      <c r="AL17" s="9" t="s">
        <v>50</v>
      </c>
    </row>
    <row r="18" spans="1:38" ht="37.5" x14ac:dyDescent="0.35">
      <c r="A18" s="4">
        <v>14</v>
      </c>
      <c r="B18" s="5" t="s">
        <v>168</v>
      </c>
      <c r="C18" s="6" t="s">
        <v>169</v>
      </c>
      <c r="D18" s="5" t="s">
        <v>117</v>
      </c>
      <c r="E18" s="5" t="s">
        <v>123</v>
      </c>
      <c r="F18" s="6" t="s">
        <v>69</v>
      </c>
      <c r="G18" s="4">
        <v>66</v>
      </c>
      <c r="H18" s="5" t="s">
        <v>99</v>
      </c>
      <c r="I18" s="7">
        <v>376</v>
      </c>
      <c r="J18" s="7">
        <v>376</v>
      </c>
      <c r="K18" s="7">
        <v>375.1549308845311</v>
      </c>
      <c r="L18" s="7">
        <v>377.87999999999988</v>
      </c>
      <c r="M18" s="7">
        <v>364.72</v>
      </c>
      <c r="N18" s="8">
        <v>3.000000000000008</v>
      </c>
      <c r="O18" s="7">
        <v>402.32000000000011</v>
      </c>
      <c r="P18" s="7">
        <v>413.6</v>
      </c>
      <c r="Q18" s="8">
        <v>2.3333333333333321</v>
      </c>
      <c r="R18" s="8">
        <v>3.3333333333333268</v>
      </c>
      <c r="S18" s="4">
        <v>53</v>
      </c>
      <c r="T18" s="4">
        <v>19928</v>
      </c>
      <c r="U18" s="8">
        <v>41.935483870967737</v>
      </c>
      <c r="V18" s="8">
        <v>25.806451612903221</v>
      </c>
      <c r="W18" s="4">
        <v>62</v>
      </c>
      <c r="X18" s="8">
        <v>2.4948361073621488</v>
      </c>
      <c r="Y18" s="8">
        <v>53.911976649857799</v>
      </c>
      <c r="Z18" s="8">
        <v>25.69961704420907</v>
      </c>
      <c r="AA18" s="8">
        <v>3.4534910802781909</v>
      </c>
      <c r="AB18" s="8">
        <v>1.539295812836494</v>
      </c>
      <c r="AC18" s="8">
        <v>23.765640259417498</v>
      </c>
      <c r="AD18" s="8">
        <v>8.0464652615189323</v>
      </c>
      <c r="AE18" s="8">
        <v>-6.4443877307336583</v>
      </c>
      <c r="AF18" s="5"/>
      <c r="AG18" s="5"/>
      <c r="AH18" s="5" t="s">
        <v>170</v>
      </c>
      <c r="AI18" s="6" t="s">
        <v>171</v>
      </c>
      <c r="AJ18" s="6"/>
      <c r="AK18" s="6"/>
      <c r="AL18" s="9" t="s">
        <v>50</v>
      </c>
    </row>
    <row r="19" spans="1:38" ht="25" x14ac:dyDescent="0.35">
      <c r="A19" s="4">
        <v>15</v>
      </c>
      <c r="B19" s="5" t="s">
        <v>172</v>
      </c>
      <c r="C19" s="6" t="s">
        <v>173</v>
      </c>
      <c r="D19" s="5" t="s">
        <v>174</v>
      </c>
      <c r="E19" s="5" t="s">
        <v>98</v>
      </c>
      <c r="F19" s="6" t="s">
        <v>69</v>
      </c>
      <c r="G19" s="4">
        <v>66</v>
      </c>
      <c r="H19" s="5" t="s">
        <v>99</v>
      </c>
      <c r="I19" s="7">
        <v>258.30999755859381</v>
      </c>
      <c r="J19" s="7">
        <v>258.30999755859381</v>
      </c>
      <c r="K19" s="7">
        <v>255.7268975830078</v>
      </c>
      <c r="L19" s="7">
        <v>260.89309753417967</v>
      </c>
      <c r="M19" s="7">
        <v>241.51984771728519</v>
      </c>
      <c r="N19" s="8">
        <v>6.4999999999999991</v>
      </c>
      <c r="O19" s="7">
        <v>276.39169738769527</v>
      </c>
      <c r="P19" s="7">
        <v>284.14099731445322</v>
      </c>
      <c r="Q19" s="8">
        <v>1.076923076923078</v>
      </c>
      <c r="R19" s="8">
        <v>1.538461538461541</v>
      </c>
      <c r="S19" s="4">
        <v>59</v>
      </c>
      <c r="T19" s="4">
        <v>15240.289855957029</v>
      </c>
      <c r="U19" s="8">
        <v>60</v>
      </c>
      <c r="V19" s="8">
        <v>46.666666666666657</v>
      </c>
      <c r="W19" s="4">
        <v>15</v>
      </c>
      <c r="X19" s="8">
        <v>0.82287444624923434</v>
      </c>
      <c r="Y19" s="8">
        <v>62.205888112801581</v>
      </c>
      <c r="Z19" s="8">
        <v>21.060881837609951</v>
      </c>
      <c r="AA19" s="8">
        <v>4.525018145068711</v>
      </c>
      <c r="AB19" s="8">
        <v>6.3953330517678264</v>
      </c>
      <c r="AC19" s="8">
        <v>20.43567016772316</v>
      </c>
      <c r="AD19" s="8">
        <v>12.902502500450259</v>
      </c>
      <c r="AE19" s="8">
        <v>-6.3788937950467801</v>
      </c>
      <c r="AF19" s="5"/>
      <c r="AG19" s="5"/>
      <c r="AH19" s="5" t="s">
        <v>47</v>
      </c>
      <c r="AI19" s="6" t="s">
        <v>175</v>
      </c>
      <c r="AJ19" s="6" t="s">
        <v>57</v>
      </c>
      <c r="AK19" s="6"/>
      <c r="AL19" s="9" t="s">
        <v>50</v>
      </c>
    </row>
    <row r="20" spans="1:38" ht="37.5" x14ac:dyDescent="0.35">
      <c r="A20" s="4">
        <v>16</v>
      </c>
      <c r="B20" s="5" t="s">
        <v>176</v>
      </c>
      <c r="C20" s="6" t="s">
        <v>177</v>
      </c>
      <c r="D20" s="5" t="s">
        <v>84</v>
      </c>
      <c r="E20" s="5" t="s">
        <v>98</v>
      </c>
      <c r="F20" s="6" t="s">
        <v>69</v>
      </c>
      <c r="G20" s="4">
        <v>65</v>
      </c>
      <c r="H20" s="5" t="s">
        <v>99</v>
      </c>
      <c r="I20" s="7">
        <v>2077.60009765625</v>
      </c>
      <c r="J20" s="7">
        <v>2077.60009765625</v>
      </c>
      <c r="K20" s="7">
        <v>2056.824096679688</v>
      </c>
      <c r="L20" s="7">
        <v>2098.376098632812</v>
      </c>
      <c r="M20" s="7">
        <v>1942.556091308594</v>
      </c>
      <c r="N20" s="8">
        <v>6.5</v>
      </c>
      <c r="O20" s="7">
        <v>2223.032104492188</v>
      </c>
      <c r="P20" s="7">
        <v>2285.360107421875</v>
      </c>
      <c r="Q20" s="8">
        <v>1.0769230769230771</v>
      </c>
      <c r="R20" s="8">
        <v>1.538461538461539</v>
      </c>
      <c r="S20" s="4">
        <v>7</v>
      </c>
      <c r="T20" s="4">
        <v>14543.20068359375</v>
      </c>
      <c r="U20" s="8">
        <v>62.962962962962962</v>
      </c>
      <c r="V20" s="8">
        <v>54.629629629629633</v>
      </c>
      <c r="W20" s="4">
        <v>108</v>
      </c>
      <c r="X20" s="8">
        <v>1.0408579663868009</v>
      </c>
      <c r="Y20" s="8">
        <v>57.662222268870423</v>
      </c>
      <c r="Z20" s="8">
        <v>35.517099418770407</v>
      </c>
      <c r="AA20" s="8">
        <v>5.0503346806795033</v>
      </c>
      <c r="AB20" s="8">
        <v>16.850399193264899</v>
      </c>
      <c r="AC20" s="8">
        <v>29.3729414079992</v>
      </c>
      <c r="AD20" s="8">
        <v>23.357568641947331</v>
      </c>
      <c r="AE20" s="8">
        <v>-11.966097556938561</v>
      </c>
      <c r="AF20" s="5"/>
      <c r="AG20" s="5"/>
      <c r="AH20" s="5" t="s">
        <v>170</v>
      </c>
      <c r="AI20" s="6" t="s">
        <v>178</v>
      </c>
      <c r="AJ20" s="6" t="s">
        <v>75</v>
      </c>
      <c r="AK20" s="6"/>
      <c r="AL20" s="9" t="s">
        <v>50</v>
      </c>
    </row>
    <row r="21" spans="1:38" ht="37.5" x14ac:dyDescent="0.35">
      <c r="A21" s="4">
        <v>17</v>
      </c>
      <c r="B21" s="5" t="s">
        <v>179</v>
      </c>
      <c r="C21" s="6" t="s">
        <v>180</v>
      </c>
      <c r="D21" s="5" t="s">
        <v>84</v>
      </c>
      <c r="E21" s="5" t="s">
        <v>98</v>
      </c>
      <c r="F21" s="6" t="s">
        <v>69</v>
      </c>
      <c r="G21" s="4">
        <v>65</v>
      </c>
      <c r="H21" s="5" t="s">
        <v>99</v>
      </c>
      <c r="I21" s="7">
        <v>96.180000305175781</v>
      </c>
      <c r="J21" s="7">
        <v>96.180000305175781</v>
      </c>
      <c r="K21" s="7">
        <v>95.218200302124018</v>
      </c>
      <c r="L21" s="7">
        <v>97.141800308227545</v>
      </c>
      <c r="M21" s="7">
        <v>89.928300285339361</v>
      </c>
      <c r="N21" s="8">
        <v>6.4999999999999947</v>
      </c>
      <c r="O21" s="7">
        <v>102.9126003265381</v>
      </c>
      <c r="P21" s="7">
        <v>105.7980003356934</v>
      </c>
      <c r="Q21" s="8">
        <v>1.07692307692308</v>
      </c>
      <c r="R21" s="8">
        <v>1.5384615384615421</v>
      </c>
      <c r="S21" s="4">
        <v>159</v>
      </c>
      <c r="T21" s="4">
        <v>15292.620048522949</v>
      </c>
      <c r="U21" s="8">
        <v>42.857142857142847</v>
      </c>
      <c r="V21" s="8">
        <v>17.857142857142861</v>
      </c>
      <c r="W21" s="4">
        <v>28</v>
      </c>
      <c r="X21" s="8">
        <v>1.0033229191551021</v>
      </c>
      <c r="Y21" s="8">
        <v>56.050045822775722</v>
      </c>
      <c r="Z21" s="8">
        <v>33.936540081251728</v>
      </c>
      <c r="AA21" s="8">
        <v>4.7167164808420443</v>
      </c>
      <c r="AB21" s="8">
        <v>15.61485452884661</v>
      </c>
      <c r="AC21" s="8">
        <v>12.985609834355349</v>
      </c>
      <c r="AD21" s="8">
        <v>22.12202397752905</v>
      </c>
      <c r="AE21" s="8">
        <v>-7.6967340479386692</v>
      </c>
      <c r="AF21" s="5"/>
      <c r="AG21" s="5"/>
      <c r="AH21" s="5" t="s">
        <v>47</v>
      </c>
      <c r="AI21" s="6" t="s">
        <v>181</v>
      </c>
      <c r="AJ21" s="6"/>
      <c r="AK21" s="6"/>
      <c r="AL21" s="9" t="s">
        <v>50</v>
      </c>
    </row>
    <row r="22" spans="1:38" ht="37.5" x14ac:dyDescent="0.35">
      <c r="A22" s="4">
        <v>18</v>
      </c>
      <c r="B22" s="5" t="s">
        <v>182</v>
      </c>
      <c r="C22" s="6" t="s">
        <v>183</v>
      </c>
      <c r="D22" s="5" t="s">
        <v>53</v>
      </c>
      <c r="E22" s="5" t="s">
        <v>98</v>
      </c>
      <c r="F22" s="6" t="s">
        <v>69</v>
      </c>
      <c r="G22" s="4">
        <v>65</v>
      </c>
      <c r="H22" s="5" t="s">
        <v>99</v>
      </c>
      <c r="I22" s="7">
        <v>232.19000244140619</v>
      </c>
      <c r="J22" s="7">
        <v>232.19000244140619</v>
      </c>
      <c r="K22" s="7">
        <v>229.8681024169922</v>
      </c>
      <c r="L22" s="7">
        <v>234.5119024658203</v>
      </c>
      <c r="M22" s="7">
        <v>217.09765228271479</v>
      </c>
      <c r="N22" s="8">
        <v>6.4999999999999991</v>
      </c>
      <c r="O22" s="7">
        <v>248.44330261230471</v>
      </c>
      <c r="P22" s="7">
        <v>255.40900268554691</v>
      </c>
      <c r="Q22" s="8">
        <v>1.076923076923078</v>
      </c>
      <c r="R22" s="8">
        <v>1.538461538461541</v>
      </c>
      <c r="S22" s="4">
        <v>66</v>
      </c>
      <c r="T22" s="4">
        <v>15324.540161132811</v>
      </c>
      <c r="U22" s="8">
        <v>82.142857142857139</v>
      </c>
      <c r="V22" s="8">
        <v>64.285714285714292</v>
      </c>
      <c r="W22" s="4">
        <v>28</v>
      </c>
      <c r="X22" s="8">
        <v>0.56686302274032718</v>
      </c>
      <c r="Y22" s="8">
        <v>58.500710072185989</v>
      </c>
      <c r="Z22" s="8">
        <v>31.647430847611961</v>
      </c>
      <c r="AA22" s="8">
        <v>4.329699134553656</v>
      </c>
      <c r="AB22" s="8">
        <v>10.408939168803061</v>
      </c>
      <c r="AC22" s="8">
        <v>21.763070674222579</v>
      </c>
      <c r="AD22" s="8">
        <v>16.916108617485492</v>
      </c>
      <c r="AE22" s="8">
        <v>-8.7303427625534447</v>
      </c>
      <c r="AF22" s="5"/>
      <c r="AG22" s="5"/>
      <c r="AH22" s="5" t="s">
        <v>47</v>
      </c>
      <c r="AI22" s="6" t="s">
        <v>184</v>
      </c>
      <c r="AJ22" s="6" t="s">
        <v>57</v>
      </c>
      <c r="AK22" s="6"/>
      <c r="AL22" s="9" t="s">
        <v>50</v>
      </c>
    </row>
    <row r="23" spans="1:38" ht="37.5" x14ac:dyDescent="0.35">
      <c r="A23" s="4">
        <v>19</v>
      </c>
      <c r="B23" s="5" t="s">
        <v>185</v>
      </c>
      <c r="C23" s="6" t="s">
        <v>186</v>
      </c>
      <c r="D23" s="5" t="s">
        <v>109</v>
      </c>
      <c r="E23" s="5" t="s">
        <v>98</v>
      </c>
      <c r="F23" s="6" t="s">
        <v>69</v>
      </c>
      <c r="G23" s="4">
        <v>65</v>
      </c>
      <c r="H23" s="5" t="s">
        <v>99</v>
      </c>
      <c r="I23" s="7">
        <v>1273.099975585938</v>
      </c>
      <c r="J23" s="7">
        <v>1272.3</v>
      </c>
      <c r="K23" s="7">
        <v>1260.3689758300779</v>
      </c>
      <c r="L23" s="7">
        <v>1285.8309753417971</v>
      </c>
      <c r="M23" s="7">
        <v>1190.348477172852</v>
      </c>
      <c r="N23" s="8">
        <v>6.5000000000000027</v>
      </c>
      <c r="O23" s="7">
        <v>1362.216973876953</v>
      </c>
      <c r="P23" s="7">
        <v>1400.409973144531</v>
      </c>
      <c r="Q23" s="8">
        <v>1.076923076923078</v>
      </c>
      <c r="R23" s="8">
        <v>1.5384615384615381</v>
      </c>
      <c r="S23" s="4">
        <v>12</v>
      </c>
      <c r="T23" s="4">
        <v>15277.19970703125</v>
      </c>
      <c r="U23" s="8">
        <v>66.233766233766232</v>
      </c>
      <c r="V23" s="8">
        <v>57.142857142857139</v>
      </c>
      <c r="W23" s="4">
        <v>77</v>
      </c>
      <c r="X23" s="8">
        <v>0.7132297756151148</v>
      </c>
      <c r="Y23" s="8">
        <v>58.142901548108163</v>
      </c>
      <c r="Z23" s="8">
        <v>35.330400251709747</v>
      </c>
      <c r="AA23" s="8">
        <v>4.4547778285378108</v>
      </c>
      <c r="AB23" s="8">
        <v>11.758762963708319</v>
      </c>
      <c r="AC23" s="8">
        <v>30.460624833394071</v>
      </c>
      <c r="AD23" s="8">
        <v>18.265932412390761</v>
      </c>
      <c r="AE23" s="8">
        <v>-6.244940518703979</v>
      </c>
      <c r="AF23" s="5"/>
      <c r="AG23" s="5"/>
      <c r="AH23" s="5" t="s">
        <v>47</v>
      </c>
      <c r="AI23" s="6" t="s">
        <v>187</v>
      </c>
      <c r="AJ23" s="6" t="s">
        <v>57</v>
      </c>
      <c r="AK23" s="6"/>
      <c r="AL23" s="9" t="s">
        <v>50</v>
      </c>
    </row>
    <row r="24" spans="1:38" ht="37.5" x14ac:dyDescent="0.35">
      <c r="A24" s="4">
        <v>20</v>
      </c>
      <c r="B24" s="5" t="s">
        <v>188</v>
      </c>
      <c r="C24" s="6" t="s">
        <v>189</v>
      </c>
      <c r="D24" s="5" t="s">
        <v>84</v>
      </c>
      <c r="E24" s="5" t="s">
        <v>98</v>
      </c>
      <c r="F24" s="6" t="s">
        <v>69</v>
      </c>
      <c r="G24" s="4">
        <v>65</v>
      </c>
      <c r="H24" s="5" t="s">
        <v>99</v>
      </c>
      <c r="I24" s="7">
        <v>793.5</v>
      </c>
      <c r="J24" s="7">
        <v>793.5</v>
      </c>
      <c r="K24" s="7">
        <v>785.56499999999994</v>
      </c>
      <c r="L24" s="7">
        <v>801.43500000000006</v>
      </c>
      <c r="M24" s="7">
        <v>741.92250000000001</v>
      </c>
      <c r="N24" s="8">
        <v>6.4999999999999991</v>
      </c>
      <c r="O24" s="7">
        <v>849.04500000000007</v>
      </c>
      <c r="P24" s="7">
        <v>872.85</v>
      </c>
      <c r="Q24" s="8">
        <v>1.0769230769230791</v>
      </c>
      <c r="R24" s="8">
        <v>1.538461538461539</v>
      </c>
      <c r="S24" s="4">
        <v>19</v>
      </c>
      <c r="T24" s="4">
        <v>15076.5</v>
      </c>
      <c r="U24" s="8">
        <v>60.576923076923073</v>
      </c>
      <c r="V24" s="8">
        <v>44.230769230769234</v>
      </c>
      <c r="W24" s="4">
        <v>104</v>
      </c>
      <c r="X24" s="8">
        <v>0.7490672752442753</v>
      </c>
      <c r="Y24" s="8">
        <v>56.137382428805317</v>
      </c>
      <c r="Z24" s="8">
        <v>31.935054605531519</v>
      </c>
      <c r="AA24" s="8">
        <v>5.1114589421413932</v>
      </c>
      <c r="AB24" s="8">
        <v>8.0841753881716105</v>
      </c>
      <c r="AC24" s="8">
        <v>45.738506142377247</v>
      </c>
      <c r="AD24" s="8">
        <v>14.59134483685405</v>
      </c>
      <c r="AE24" s="8">
        <v>-7.3122272364384067</v>
      </c>
      <c r="AF24" s="5"/>
      <c r="AG24" s="5"/>
      <c r="AH24" s="5" t="s">
        <v>47</v>
      </c>
      <c r="AI24" s="6" t="s">
        <v>190</v>
      </c>
      <c r="AJ24" s="6" t="s">
        <v>57</v>
      </c>
      <c r="AK24" s="6"/>
      <c r="AL24" s="9" t="s">
        <v>50</v>
      </c>
    </row>
  </sheetData>
  <autoFilter ref="A4:AL24" xr:uid="{00000000-0009-0000-0000-000001000000}"/>
  <conditionalFormatting sqref="F5:F24">
    <cfRule type="expression" dxfId="2" priority="1">
      <formula>LEFT(F5,3)="BUY"</formula>
    </cfRule>
    <cfRule type="expression" dxfId="1" priority="2">
      <formula>LEFT(F5,4)="WAIT"</formula>
    </cfRule>
    <cfRule type="expression" dxfId="0" priority="3">
      <formula>OR(LEFT(F5,5)="AVOID",LEFT(F5,6)="REVIEW",LEFT(F5,4)="SKIP")</formula>
    </cfRule>
  </conditionalFormatting>
  <conditionalFormatting sqref="G5:G24">
    <cfRule type="colorScale" priority="4">
      <colorScale>
        <cfvo type="num" val="50"/>
        <cfvo type="num" val="65"/>
        <cfvo type="num" val="85"/>
        <color rgb="FFF8CBAD"/>
        <color rgb="FFFFEB84"/>
        <color rgb="FF63BE7B"/>
      </colorScale>
    </cfRule>
  </conditionalFormatting>
  <hyperlinks>
    <hyperlink ref="AL5" r:id="rId1" xr:uid="{00000000-0004-0000-0100-000000000000}"/>
    <hyperlink ref="AL6" r:id="rId2" xr:uid="{00000000-0004-0000-0100-000001000000}"/>
    <hyperlink ref="AL7" r:id="rId3" xr:uid="{00000000-0004-0000-0100-000002000000}"/>
    <hyperlink ref="AL8" r:id="rId4" xr:uid="{00000000-0004-0000-0100-000003000000}"/>
    <hyperlink ref="AL9" r:id="rId5" xr:uid="{00000000-0004-0000-0100-000004000000}"/>
    <hyperlink ref="AL10" r:id="rId6" xr:uid="{00000000-0004-0000-0100-000005000000}"/>
    <hyperlink ref="AL11" r:id="rId7" xr:uid="{00000000-0004-0000-0100-000006000000}"/>
    <hyperlink ref="AL12" r:id="rId8" xr:uid="{00000000-0004-0000-0100-000007000000}"/>
    <hyperlink ref="AL13" r:id="rId9" xr:uid="{00000000-0004-0000-0100-000008000000}"/>
    <hyperlink ref="AL14" r:id="rId10" xr:uid="{00000000-0004-0000-0100-000009000000}"/>
    <hyperlink ref="AL15" r:id="rId11" xr:uid="{00000000-0004-0000-0100-00000A000000}"/>
    <hyperlink ref="AL16" r:id="rId12" xr:uid="{00000000-0004-0000-0100-00000B000000}"/>
    <hyperlink ref="AL17" r:id="rId13" xr:uid="{00000000-0004-0000-0100-00000C000000}"/>
    <hyperlink ref="AL18" r:id="rId14" xr:uid="{00000000-0004-0000-0100-00000D000000}"/>
    <hyperlink ref="AL19" r:id="rId15" xr:uid="{00000000-0004-0000-0100-00000E000000}"/>
    <hyperlink ref="AL20" r:id="rId16" xr:uid="{00000000-0004-0000-0100-00000F000000}"/>
    <hyperlink ref="AL21" r:id="rId17" xr:uid="{00000000-0004-0000-0100-000010000000}"/>
    <hyperlink ref="AL22" r:id="rId18" xr:uid="{00000000-0004-0000-0100-000011000000}"/>
    <hyperlink ref="AL23" r:id="rId19" xr:uid="{00000000-0004-0000-0100-000012000000}"/>
    <hyperlink ref="AL24" r:id="rId20" xr:uid="{00000000-0004-0000-0100-000013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39"/>
  <sheetViews>
    <sheetView workbookViewId="0">
      <pane xSplit="2" ySplit="4" topLeftCell="N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6" customWidth="1"/>
    <col min="2" max="2" width="13" customWidth="1"/>
    <col min="3" max="3" width="21" customWidth="1"/>
    <col min="4" max="4" width="9" customWidth="1"/>
    <col min="5" max="41" width="12" customWidth="1"/>
  </cols>
  <sheetData>
    <row r="1" spans="1:41" ht="20" x14ac:dyDescent="0.4">
      <c r="A1" s="1" t="s">
        <v>191</v>
      </c>
    </row>
    <row r="2" spans="1:41" x14ac:dyDescent="0.35">
      <c r="A2" s="2" t="s">
        <v>1</v>
      </c>
    </row>
    <row r="4" spans="1:41" ht="34" customHeight="1" x14ac:dyDescent="0.35">
      <c r="A4" s="3" t="s">
        <v>2</v>
      </c>
      <c r="B4" s="3" t="s">
        <v>3</v>
      </c>
      <c r="C4" s="3" t="s">
        <v>6</v>
      </c>
      <c r="D4" s="3" t="s">
        <v>8</v>
      </c>
      <c r="E4" s="3" t="s">
        <v>10</v>
      </c>
      <c r="F4" s="3" t="s">
        <v>192</v>
      </c>
      <c r="G4" s="3" t="s">
        <v>193</v>
      </c>
      <c r="H4" s="3" t="s">
        <v>194</v>
      </c>
      <c r="I4" s="3" t="s">
        <v>26</v>
      </c>
      <c r="J4" s="3" t="s">
        <v>195</v>
      </c>
      <c r="K4" s="3" t="s">
        <v>196</v>
      </c>
      <c r="L4" s="3" t="s">
        <v>197</v>
      </c>
      <c r="M4" s="3" t="s">
        <v>27</v>
      </c>
      <c r="N4" s="3" t="s">
        <v>198</v>
      </c>
      <c r="O4" s="3" t="s">
        <v>199</v>
      </c>
      <c r="P4" s="3" t="s">
        <v>200</v>
      </c>
      <c r="Q4" s="3" t="s">
        <v>28</v>
      </c>
      <c r="R4" s="3" t="s">
        <v>25</v>
      </c>
      <c r="S4" s="3" t="s">
        <v>201</v>
      </c>
      <c r="T4" s="3" t="s">
        <v>202</v>
      </c>
      <c r="U4" s="3" t="s">
        <v>203</v>
      </c>
      <c r="V4" s="3" t="s">
        <v>204</v>
      </c>
      <c r="W4" s="3" t="s">
        <v>205</v>
      </c>
      <c r="X4" s="3" t="s">
        <v>206</v>
      </c>
      <c r="Y4" s="3" t="s">
        <v>207</v>
      </c>
      <c r="Z4" s="3" t="s">
        <v>208</v>
      </c>
      <c r="AA4" s="3" t="s">
        <v>209</v>
      </c>
      <c r="AB4" s="3" t="s">
        <v>29</v>
      </c>
      <c r="AC4" s="3" t="s">
        <v>30</v>
      </c>
      <c r="AD4" s="3" t="s">
        <v>210</v>
      </c>
      <c r="AE4" s="3" t="s">
        <v>32</v>
      </c>
      <c r="AF4" s="3" t="s">
        <v>211</v>
      </c>
      <c r="AG4" s="3" t="s">
        <v>212</v>
      </c>
      <c r="AH4" s="3" t="s">
        <v>213</v>
      </c>
      <c r="AI4" s="3" t="s">
        <v>214</v>
      </c>
      <c r="AJ4" s="3" t="s">
        <v>215</v>
      </c>
      <c r="AK4" s="3" t="s">
        <v>216</v>
      </c>
      <c r="AL4" s="3" t="s">
        <v>217</v>
      </c>
      <c r="AM4" s="3" t="s">
        <v>218</v>
      </c>
      <c r="AN4" s="3" t="s">
        <v>219</v>
      </c>
      <c r="AO4" s="3" t="s">
        <v>220</v>
      </c>
    </row>
    <row r="5" spans="1:41" x14ac:dyDescent="0.35">
      <c r="A5" s="4">
        <v>1</v>
      </c>
      <c r="B5" s="5" t="s">
        <v>40</v>
      </c>
      <c r="C5" s="5" t="s">
        <v>43</v>
      </c>
      <c r="D5" s="4">
        <v>98</v>
      </c>
      <c r="E5" s="7">
        <v>3150.60009765625</v>
      </c>
      <c r="F5" s="7">
        <v>2935.9897296995932</v>
      </c>
      <c r="G5" s="7">
        <v>2813.392655093272</v>
      </c>
      <c r="H5" s="7">
        <v>2325.501301223278</v>
      </c>
      <c r="I5" s="8">
        <v>67.836336558388894</v>
      </c>
      <c r="J5" s="7">
        <v>45.47120085278857</v>
      </c>
      <c r="K5" s="7">
        <v>37.280564904745233</v>
      </c>
      <c r="L5" s="7">
        <v>8.1906359480433366</v>
      </c>
      <c r="M5" s="8">
        <v>27.210572050368221</v>
      </c>
      <c r="N5" s="8">
        <v>33.908715897976698</v>
      </c>
      <c r="O5" s="8">
        <v>11.31631775724971</v>
      </c>
      <c r="P5" s="7">
        <v>93.600387495965791</v>
      </c>
      <c r="Q5" s="8">
        <v>2.9708748998514811</v>
      </c>
      <c r="R5" s="8">
        <v>2.6631942958654911</v>
      </c>
      <c r="S5" s="5" t="s">
        <v>221</v>
      </c>
      <c r="T5" s="8">
        <v>1.892044994120188</v>
      </c>
      <c r="U5" s="8">
        <v>1.281375455520853</v>
      </c>
      <c r="V5" s="8">
        <v>9.2706831697605718</v>
      </c>
      <c r="W5" s="5" t="s">
        <v>222</v>
      </c>
      <c r="X5" s="8">
        <v>94.18640409772307</v>
      </c>
      <c r="Y5" s="8">
        <v>79.294165879513571</v>
      </c>
      <c r="Z5" s="8">
        <v>4.8068924954515424</v>
      </c>
      <c r="AA5" s="8">
        <v>5.381815871566209</v>
      </c>
      <c r="AB5" s="8">
        <v>7.4410108641083106</v>
      </c>
      <c r="AC5" s="8">
        <v>27.189777712597031</v>
      </c>
      <c r="AD5" s="8">
        <v>3.5700229341305119</v>
      </c>
      <c r="AE5" s="8">
        <v>-0.64332710008672134</v>
      </c>
      <c r="AF5" s="8">
        <v>7.3096430067763007</v>
      </c>
      <c r="AG5" s="5" t="s">
        <v>223</v>
      </c>
      <c r="AH5" s="8">
        <v>-6.5071694486824372</v>
      </c>
      <c r="AI5" s="8">
        <v>-7.2236964944199844</v>
      </c>
      <c r="AJ5" s="4">
        <v>50808.4912128</v>
      </c>
      <c r="AK5" s="8">
        <v>44.970061999999999</v>
      </c>
      <c r="AL5" s="5"/>
      <c r="AM5" s="8">
        <v>2.7380000000000002E-2</v>
      </c>
      <c r="AN5" s="8">
        <v>19.600000000000001</v>
      </c>
      <c r="AO5" s="8">
        <v>46.9</v>
      </c>
    </row>
    <row r="6" spans="1:41" x14ac:dyDescent="0.35">
      <c r="A6" s="4">
        <v>2</v>
      </c>
      <c r="B6" s="5" t="s">
        <v>51</v>
      </c>
      <c r="C6" s="5" t="s">
        <v>43</v>
      </c>
      <c r="D6" s="4">
        <v>94</v>
      </c>
      <c r="E6" s="7">
        <v>602.45001220703125</v>
      </c>
      <c r="F6" s="7">
        <v>556.45256662160659</v>
      </c>
      <c r="G6" s="7">
        <v>535.19886714785514</v>
      </c>
      <c r="H6" s="7">
        <v>478.12381735996638</v>
      </c>
      <c r="I6" s="8">
        <v>68.607876803826215</v>
      </c>
      <c r="J6" s="7">
        <v>12.75961352788158</v>
      </c>
      <c r="K6" s="7">
        <v>7.520308234858895</v>
      </c>
      <c r="L6" s="7">
        <v>5.2393052930226887</v>
      </c>
      <c r="M6" s="8">
        <v>32.242431751970521</v>
      </c>
      <c r="N6" s="8">
        <v>24.737940357530839</v>
      </c>
      <c r="O6" s="8">
        <v>6.6641847025586296</v>
      </c>
      <c r="P6" s="7">
        <v>23.334065125313401</v>
      </c>
      <c r="Q6" s="8">
        <v>3.8731952282365749</v>
      </c>
      <c r="R6" s="8">
        <v>1.7182551410211571</v>
      </c>
      <c r="S6" s="5" t="s">
        <v>221</v>
      </c>
      <c r="T6" s="8">
        <v>1.911685035823375</v>
      </c>
      <c r="U6" s="8">
        <v>1.1252984999333839</v>
      </c>
      <c r="V6" s="8">
        <v>15.67553085137048</v>
      </c>
      <c r="W6" s="5" t="s">
        <v>224</v>
      </c>
      <c r="X6" s="8">
        <v>94.485940877574194</v>
      </c>
      <c r="Y6" s="8">
        <v>90.890720303313444</v>
      </c>
      <c r="Z6" s="8">
        <v>3.3893941284118161</v>
      </c>
      <c r="AA6" s="8">
        <v>12.902930991608571</v>
      </c>
      <c r="AB6" s="8">
        <v>8.7356782746014652</v>
      </c>
      <c r="AC6" s="8">
        <v>25.353725459019351</v>
      </c>
      <c r="AD6" s="8">
        <v>2.1621162855807619</v>
      </c>
      <c r="AE6" s="8">
        <v>-0.79044673412412836</v>
      </c>
      <c r="AF6" s="8">
        <v>8.2661934447870742</v>
      </c>
      <c r="AG6" s="5" t="s">
        <v>223</v>
      </c>
      <c r="AH6" s="8">
        <v>-6.5071694486824372</v>
      </c>
      <c r="AI6" s="8">
        <v>-7.2236964944199844</v>
      </c>
      <c r="AJ6" s="4">
        <v>19601.6586752</v>
      </c>
      <c r="AK6" s="8">
        <v>32.392384</v>
      </c>
      <c r="AL6" s="5"/>
      <c r="AM6" s="8">
        <v>0.28065000000000001</v>
      </c>
      <c r="AN6" s="8">
        <v>28.1</v>
      </c>
      <c r="AO6" s="8">
        <v>386.7</v>
      </c>
    </row>
    <row r="7" spans="1:41" x14ac:dyDescent="0.35">
      <c r="A7" s="4">
        <v>3</v>
      </c>
      <c r="B7" s="5" t="s">
        <v>55</v>
      </c>
      <c r="C7" s="5" t="s">
        <v>43</v>
      </c>
      <c r="D7" s="4">
        <v>89</v>
      </c>
      <c r="E7" s="7">
        <v>152.24000549316409</v>
      </c>
      <c r="F7" s="7">
        <v>140.29176950692869</v>
      </c>
      <c r="G7" s="7">
        <v>128.7521859820871</v>
      </c>
      <c r="H7" s="7">
        <v>94.316566892583396</v>
      </c>
      <c r="I7" s="8">
        <v>71.755388616196115</v>
      </c>
      <c r="J7" s="7">
        <v>3.5222837250958889</v>
      </c>
      <c r="K7" s="7">
        <v>3.8732224002909712</v>
      </c>
      <c r="L7" s="7">
        <v>-0.35093867519508232</v>
      </c>
      <c r="M7" s="8">
        <v>31.052576469714062</v>
      </c>
      <c r="N7" s="8">
        <v>33.469103671492569</v>
      </c>
      <c r="O7" s="8">
        <v>12.1030377639722</v>
      </c>
      <c r="P7" s="7">
        <v>5.5211308053717598</v>
      </c>
      <c r="Q7" s="8">
        <v>3.6265965621103922</v>
      </c>
      <c r="R7" s="8">
        <v>1.6084759158153701</v>
      </c>
      <c r="S7" s="5" t="s">
        <v>221</v>
      </c>
      <c r="T7" s="8">
        <v>2.208394804140513</v>
      </c>
      <c r="U7" s="8">
        <v>1.42146663436332</v>
      </c>
      <c r="V7" s="8">
        <v>8.6955069010167971</v>
      </c>
      <c r="W7" s="5" t="s">
        <v>222</v>
      </c>
      <c r="X7" s="8">
        <v>90.491653002998177</v>
      </c>
      <c r="Y7" s="8">
        <v>61.078026164236668</v>
      </c>
      <c r="Z7" s="8">
        <v>8.2403214359253454</v>
      </c>
      <c r="AA7" s="8">
        <v>9.5882576301360434</v>
      </c>
      <c r="AB7" s="8">
        <v>6.2683312373710942</v>
      </c>
      <c r="AC7" s="8">
        <v>103.1275763899132</v>
      </c>
      <c r="AD7" s="8">
        <v>2.518522217618901</v>
      </c>
      <c r="AE7" s="8">
        <v>-1.1428535758674969</v>
      </c>
      <c r="AF7" s="8">
        <v>8.5167048845621771</v>
      </c>
      <c r="AG7" s="5" t="s">
        <v>223</v>
      </c>
      <c r="AH7" s="8">
        <v>-6.5071694486824372</v>
      </c>
      <c r="AI7" s="8">
        <v>-7.2236964944199844</v>
      </c>
      <c r="AJ7" s="4">
        <v>6789.5611392000001</v>
      </c>
      <c r="AK7" s="8">
        <v>44.03904</v>
      </c>
      <c r="AL7" s="5"/>
      <c r="AM7" s="8">
        <v>0.81938999999999995</v>
      </c>
      <c r="AN7" s="8">
        <v>98.3</v>
      </c>
      <c r="AO7" s="8">
        <v>100</v>
      </c>
    </row>
    <row r="8" spans="1:41" x14ac:dyDescent="0.35">
      <c r="A8" s="4">
        <v>4</v>
      </c>
      <c r="B8" s="5" t="s">
        <v>58</v>
      </c>
      <c r="C8" s="5" t="s">
        <v>61</v>
      </c>
      <c r="D8" s="4">
        <v>88</v>
      </c>
      <c r="E8" s="7">
        <v>884.5</v>
      </c>
      <c r="F8" s="7">
        <v>819.593689700357</v>
      </c>
      <c r="G8" s="7">
        <v>770.38558891310367</v>
      </c>
      <c r="H8" s="7">
        <v>575.38362628363609</v>
      </c>
      <c r="I8" s="8">
        <v>70.537037707952294</v>
      </c>
      <c r="J8" s="7">
        <v>22.169901780844839</v>
      </c>
      <c r="K8" s="7">
        <v>15.49502734676777</v>
      </c>
      <c r="L8" s="7">
        <v>6.6748744340770676</v>
      </c>
      <c r="M8" s="8">
        <v>24.819129904842619</v>
      </c>
      <c r="N8" s="8">
        <v>29.096983931521009</v>
      </c>
      <c r="O8" s="8">
        <v>16.451681214898059</v>
      </c>
      <c r="P8" s="7">
        <v>36.30247424123808</v>
      </c>
      <c r="Q8" s="8">
        <v>4.1042933003095623</v>
      </c>
      <c r="R8" s="8">
        <v>2.592527333627773</v>
      </c>
      <c r="S8" s="5" t="s">
        <v>221</v>
      </c>
      <c r="T8" s="8">
        <v>5.1584546559807567</v>
      </c>
      <c r="U8" s="8">
        <v>1.084021322978068</v>
      </c>
      <c r="V8" s="8">
        <v>14.59355342753126</v>
      </c>
      <c r="W8" s="5" t="s">
        <v>222</v>
      </c>
      <c r="X8" s="8">
        <v>87.349186257426879</v>
      </c>
      <c r="Y8" s="8">
        <v>85.435833774338008</v>
      </c>
      <c r="Z8" s="8">
        <v>0.86093707598766667</v>
      </c>
      <c r="AA8" s="8">
        <v>9.1032424672176084</v>
      </c>
      <c r="AB8" s="8">
        <v>12.224826822478031</v>
      </c>
      <c r="AC8" s="8">
        <v>41.9059870563947</v>
      </c>
      <c r="AD8" s="8">
        <v>-1.151093868292707</v>
      </c>
      <c r="AE8" s="8">
        <v>-1.9183841236578461</v>
      </c>
      <c r="AF8" s="8">
        <v>7.9193277248599481</v>
      </c>
      <c r="AG8" s="5" t="s">
        <v>223</v>
      </c>
      <c r="AH8" s="8">
        <v>-6.5071694486824372</v>
      </c>
      <c r="AI8" s="8">
        <v>-7.2236964944199844</v>
      </c>
      <c r="AJ8" s="4">
        <v>13698.5952256</v>
      </c>
      <c r="AK8" s="8">
        <v>40.462029999999999</v>
      </c>
      <c r="AL8" s="5"/>
      <c r="AM8" s="8">
        <v>0.72072000000000003</v>
      </c>
      <c r="AN8" s="8">
        <v>77.900000000000006</v>
      </c>
      <c r="AO8" s="8">
        <v>124.2</v>
      </c>
    </row>
    <row r="9" spans="1:41" x14ac:dyDescent="0.35">
      <c r="A9" s="4">
        <v>5</v>
      </c>
      <c r="B9" s="5" t="s">
        <v>65</v>
      </c>
      <c r="C9" s="5" t="s">
        <v>68</v>
      </c>
      <c r="D9" s="4">
        <v>85</v>
      </c>
      <c r="E9" s="7">
        <v>802.0999755859375</v>
      </c>
      <c r="F9" s="7">
        <v>738.62368388612833</v>
      </c>
      <c r="G9" s="7">
        <v>681.54797059931866</v>
      </c>
      <c r="H9" s="7">
        <v>516.1229801565139</v>
      </c>
      <c r="I9" s="8">
        <v>81.99273274649569</v>
      </c>
      <c r="J9" s="7">
        <v>34.827469479832189</v>
      </c>
      <c r="K9" s="7">
        <v>29.40566651042991</v>
      </c>
      <c r="L9" s="7">
        <v>5.4218029694022754</v>
      </c>
      <c r="M9" s="8">
        <v>30.723343783537651</v>
      </c>
      <c r="N9" s="8">
        <v>33.716201650564081</v>
      </c>
      <c r="O9" s="8">
        <v>11.178550310564409</v>
      </c>
      <c r="P9" s="7">
        <v>21.309504244026471</v>
      </c>
      <c r="Q9" s="8">
        <v>2.6567142367084329</v>
      </c>
      <c r="R9" s="8">
        <v>1.91135763218101</v>
      </c>
      <c r="S9" s="5" t="s">
        <v>221</v>
      </c>
      <c r="T9" s="5"/>
      <c r="U9" s="8">
        <v>0.9575706568902832</v>
      </c>
      <c r="V9" s="8">
        <v>20.60882993841426</v>
      </c>
      <c r="W9" s="5" t="s">
        <v>224</v>
      </c>
      <c r="X9" s="8">
        <v>95.590414833825164</v>
      </c>
      <c r="Y9" s="8">
        <v>95.756661769097562</v>
      </c>
      <c r="Z9" s="8">
        <v>0.70307289214532886</v>
      </c>
      <c r="AA9" s="8">
        <v>5.0831898877866211</v>
      </c>
      <c r="AB9" s="8">
        <v>17.92986058876242</v>
      </c>
      <c r="AC9" s="8">
        <v>60.06784390663973</v>
      </c>
      <c r="AD9" s="8">
        <v>0.3252001983661712</v>
      </c>
      <c r="AE9" s="8">
        <v>-0.73020104134436936</v>
      </c>
      <c r="AF9" s="8">
        <v>8.5938608637406091</v>
      </c>
      <c r="AG9" s="5" t="s">
        <v>223</v>
      </c>
      <c r="AH9" s="8">
        <v>-6.5071694486824372</v>
      </c>
      <c r="AI9" s="8">
        <v>-7.2236964944199844</v>
      </c>
      <c r="AJ9" s="4">
        <v>13045.679718400001</v>
      </c>
      <c r="AK9" s="8">
        <v>80.315950000000001</v>
      </c>
      <c r="AL9" s="5"/>
      <c r="AM9" s="8">
        <v>0.36165999999999998</v>
      </c>
      <c r="AN9" s="8">
        <v>29.6</v>
      </c>
      <c r="AO9" s="8">
        <v>7.1</v>
      </c>
    </row>
    <row r="10" spans="1:41" x14ac:dyDescent="0.35">
      <c r="A10" s="4">
        <v>6</v>
      </c>
      <c r="B10" s="5" t="s">
        <v>71</v>
      </c>
      <c r="C10" s="5" t="s">
        <v>68</v>
      </c>
      <c r="D10" s="4">
        <v>82</v>
      </c>
      <c r="E10" s="7">
        <v>1531</v>
      </c>
      <c r="F10" s="7">
        <v>1439.1373231594921</v>
      </c>
      <c r="G10" s="7">
        <v>1375.4794182815681</v>
      </c>
      <c r="H10" s="7">
        <v>1124.682317856006</v>
      </c>
      <c r="I10" s="8">
        <v>58.516800915585279</v>
      </c>
      <c r="J10" s="7">
        <v>24.486526747323751</v>
      </c>
      <c r="K10" s="7">
        <v>15.38531236567152</v>
      </c>
      <c r="L10" s="7">
        <v>9.1012143816522268</v>
      </c>
      <c r="M10" s="8">
        <v>26.720290211340622</v>
      </c>
      <c r="N10" s="8">
        <v>33.902711983090832</v>
      </c>
      <c r="O10" s="8">
        <v>14.954566682083341</v>
      </c>
      <c r="P10" s="7">
        <v>82.792657284907833</v>
      </c>
      <c r="Q10" s="8">
        <v>5.4077503125348034</v>
      </c>
      <c r="R10" s="8">
        <v>2.021957151132979</v>
      </c>
      <c r="S10" s="5" t="s">
        <v>221</v>
      </c>
      <c r="T10" s="8">
        <v>2.819281070689593</v>
      </c>
      <c r="U10" s="8">
        <v>0.72376151968316693</v>
      </c>
      <c r="V10" s="8">
        <v>24.23230215685702</v>
      </c>
      <c r="W10" s="5" t="s">
        <v>224</v>
      </c>
      <c r="X10" s="8">
        <v>67.81951283648246</v>
      </c>
      <c r="Y10" s="8">
        <v>67.952425390878062</v>
      </c>
      <c r="Z10" s="8">
        <v>-5.0424887654885726</v>
      </c>
      <c r="AA10" s="8">
        <v>6.5933264605219977</v>
      </c>
      <c r="AB10" s="8">
        <v>7.0479689742354967</v>
      </c>
      <c r="AC10" s="8">
        <v>42.441313999461208</v>
      </c>
      <c r="AD10" s="8">
        <v>-8.7332339791356244</v>
      </c>
      <c r="AE10" s="8">
        <v>-8.7332339791356244</v>
      </c>
      <c r="AF10" s="8">
        <v>6.3831765990775668</v>
      </c>
      <c r="AG10" s="5" t="s">
        <v>223</v>
      </c>
      <c r="AH10" s="8">
        <v>-6.5071694486824372</v>
      </c>
      <c r="AI10" s="8">
        <v>-7.2236964944199844</v>
      </c>
      <c r="AJ10" s="4">
        <v>22798.334361599998</v>
      </c>
      <c r="AK10" s="8">
        <v>5.7519627</v>
      </c>
      <c r="AL10" s="5"/>
      <c r="AM10" s="8">
        <v>0.17680000000000001</v>
      </c>
      <c r="AN10" s="8">
        <v>84.8</v>
      </c>
      <c r="AO10" s="5"/>
    </row>
    <row r="11" spans="1:41" x14ac:dyDescent="0.35">
      <c r="A11" s="4">
        <v>7</v>
      </c>
      <c r="B11" s="5" t="s">
        <v>76</v>
      </c>
      <c r="C11" s="5" t="s">
        <v>61</v>
      </c>
      <c r="D11" s="4">
        <v>76</v>
      </c>
      <c r="E11" s="7">
        <v>341.25</v>
      </c>
      <c r="F11" s="7">
        <v>333.54836397748932</v>
      </c>
      <c r="G11" s="7">
        <v>329.29734316152241</v>
      </c>
      <c r="H11" s="7">
        <v>292.84880221940489</v>
      </c>
      <c r="I11" s="8">
        <v>56.124944839702209</v>
      </c>
      <c r="J11" s="7">
        <v>0.44051224560712399</v>
      </c>
      <c r="K11" s="7">
        <v>-0.130476782947862</v>
      </c>
      <c r="L11" s="7">
        <v>0.5709890285549859</v>
      </c>
      <c r="M11" s="8">
        <v>18.740290229610402</v>
      </c>
      <c r="N11" s="8">
        <v>25.73802495346424</v>
      </c>
      <c r="O11" s="8">
        <v>15.917767517562851</v>
      </c>
      <c r="P11" s="7">
        <v>9.4770350674361374</v>
      </c>
      <c r="Q11" s="8">
        <v>2.7771531333146191</v>
      </c>
      <c r="R11" s="8">
        <v>1.262314294932992</v>
      </c>
      <c r="S11" s="5" t="s">
        <v>221</v>
      </c>
      <c r="T11" s="8">
        <v>2.177928642316687</v>
      </c>
      <c r="U11" s="8">
        <v>0.7382452206986323</v>
      </c>
      <c r="V11" s="8">
        <v>8.8319426806615073</v>
      </c>
      <c r="W11" s="5" t="s">
        <v>222</v>
      </c>
      <c r="X11" s="8">
        <v>82.922791059405526</v>
      </c>
      <c r="Y11" s="8">
        <v>79.194661783847479</v>
      </c>
      <c r="Z11" s="8">
        <v>0.90182959280962205</v>
      </c>
      <c r="AA11" s="8">
        <v>4.2462176988898204</v>
      </c>
      <c r="AB11" s="8">
        <v>2.6315789473684288</v>
      </c>
      <c r="AC11" s="8">
        <v>7.3281921366296743</v>
      </c>
      <c r="AD11" s="8">
        <v>-1.415569545828077</v>
      </c>
      <c r="AE11" s="8">
        <v>-2.3744780668922938</v>
      </c>
      <c r="AF11" s="8">
        <v>2.309001288649859</v>
      </c>
      <c r="AG11" s="5" t="s">
        <v>223</v>
      </c>
      <c r="AH11" s="8">
        <v>-6.5071694486824372</v>
      </c>
      <c r="AI11" s="8">
        <v>-7.2236964944199844</v>
      </c>
      <c r="AJ11" s="4">
        <v>95212.942131200005</v>
      </c>
      <c r="AK11" s="8">
        <v>373.37079999999997</v>
      </c>
      <c r="AL11" s="5"/>
      <c r="AM11" s="8">
        <v>0.82828999999999997</v>
      </c>
      <c r="AN11" s="8">
        <v>29.1</v>
      </c>
      <c r="AO11" s="8">
        <v>250</v>
      </c>
    </row>
    <row r="12" spans="1:41" x14ac:dyDescent="0.35">
      <c r="A12" s="4">
        <v>8</v>
      </c>
      <c r="B12" s="5" t="s">
        <v>82</v>
      </c>
      <c r="C12" s="5" t="s">
        <v>61</v>
      </c>
      <c r="D12" s="4">
        <v>76</v>
      </c>
      <c r="E12" s="7">
        <v>24470</v>
      </c>
      <c r="F12" s="7">
        <v>22684.39655672992</v>
      </c>
      <c r="G12" s="7">
        <v>21468.939442745559</v>
      </c>
      <c r="H12" s="7">
        <v>18718.190811515131</v>
      </c>
      <c r="I12" s="8">
        <v>66.822585758443893</v>
      </c>
      <c r="J12" s="7">
        <v>575.3671575579865</v>
      </c>
      <c r="K12" s="7">
        <v>448.04187991312222</v>
      </c>
      <c r="L12" s="7">
        <v>127.3252776448643</v>
      </c>
      <c r="M12" s="8">
        <v>38.807661068700739</v>
      </c>
      <c r="N12" s="8">
        <v>36.843783513853033</v>
      </c>
      <c r="O12" s="8">
        <v>11.64386509292027</v>
      </c>
      <c r="P12" s="7">
        <v>870.65608735283934</v>
      </c>
      <c r="Q12" s="8">
        <v>3.558055117911072</v>
      </c>
      <c r="R12" s="8">
        <v>1.225464343590285</v>
      </c>
      <c r="S12" s="5" t="s">
        <v>221</v>
      </c>
      <c r="T12" s="8">
        <v>1.814447752583267</v>
      </c>
      <c r="U12" s="8">
        <v>1.067570692950407</v>
      </c>
      <c r="V12" s="8">
        <v>14.16159277854636</v>
      </c>
      <c r="W12" s="5" t="s">
        <v>222</v>
      </c>
      <c r="X12" s="8">
        <v>89.969604863221889</v>
      </c>
      <c r="Y12" s="8">
        <v>90.716852235560964</v>
      </c>
      <c r="Z12" s="8">
        <v>-0.87097427587603526</v>
      </c>
      <c r="AA12" s="8">
        <v>10.2748986029743</v>
      </c>
      <c r="AB12" s="8">
        <v>3.0098926541780591</v>
      </c>
      <c r="AC12" s="8">
        <v>41.004955629825979</v>
      </c>
      <c r="AD12" s="8">
        <v>-1.330645161290323</v>
      </c>
      <c r="AE12" s="8">
        <v>-1.330645161290323</v>
      </c>
      <c r="AF12" s="8">
        <v>7.8715051502673994</v>
      </c>
      <c r="AG12" s="5" t="s">
        <v>223</v>
      </c>
      <c r="AH12" s="8">
        <v>-6.5071694486824372</v>
      </c>
      <c r="AI12" s="8">
        <v>-7.2236964944199844</v>
      </c>
      <c r="AJ12" s="4">
        <v>36686.767718399999</v>
      </c>
      <c r="AK12" s="8">
        <v>294.81927000000002</v>
      </c>
      <c r="AL12" s="5"/>
      <c r="AM12" s="8">
        <v>0.17341000000000001</v>
      </c>
      <c r="AN12" s="8">
        <v>97.399999999999991</v>
      </c>
      <c r="AO12" s="8">
        <v>465.7</v>
      </c>
    </row>
    <row r="13" spans="1:41" x14ac:dyDescent="0.35">
      <c r="A13" s="4">
        <v>9</v>
      </c>
      <c r="B13" s="5" t="s">
        <v>87</v>
      </c>
      <c r="C13" s="5" t="s">
        <v>61</v>
      </c>
      <c r="D13" s="4">
        <v>75</v>
      </c>
      <c r="E13" s="7">
        <v>1787.599975585938</v>
      </c>
      <c r="F13" s="7">
        <v>1689.4993375383681</v>
      </c>
      <c r="G13" s="7">
        <v>1614.708529506705</v>
      </c>
      <c r="H13" s="7">
        <v>1307.8035897580801</v>
      </c>
      <c r="I13" s="8">
        <v>63.290998801642921</v>
      </c>
      <c r="J13" s="7">
        <v>35.985694682022313</v>
      </c>
      <c r="K13" s="7">
        <v>27.528656163139249</v>
      </c>
      <c r="L13" s="7">
        <v>8.457038518883067</v>
      </c>
      <c r="M13" s="8">
        <v>31.017895911056019</v>
      </c>
      <c r="N13" s="8">
        <v>29.98072928355457</v>
      </c>
      <c r="O13" s="8">
        <v>12.10763265383299</v>
      </c>
      <c r="P13" s="7">
        <v>66.541260956420615</v>
      </c>
      <c r="Q13" s="8">
        <v>3.7223798313495609</v>
      </c>
      <c r="R13" s="8">
        <v>0.7486537709455191</v>
      </c>
      <c r="S13" s="5" t="s">
        <v>221</v>
      </c>
      <c r="T13" s="8">
        <v>2.4046096474877818</v>
      </c>
      <c r="U13" s="8">
        <v>0.95418534561551194</v>
      </c>
      <c r="V13" s="8">
        <v>15.08469209619815</v>
      </c>
      <c r="W13" s="5" t="s">
        <v>222</v>
      </c>
      <c r="X13" s="8">
        <v>87.960016838051331</v>
      </c>
      <c r="Y13" s="8">
        <v>75.546511213272893</v>
      </c>
      <c r="Z13" s="8">
        <v>-0.67785714586079404</v>
      </c>
      <c r="AA13" s="8">
        <v>2.1544060029657031</v>
      </c>
      <c r="AB13" s="8">
        <v>9.9655513307699284</v>
      </c>
      <c r="AC13" s="8">
        <v>26.475162353771921</v>
      </c>
      <c r="AD13" s="8">
        <v>-1.460779469524043</v>
      </c>
      <c r="AE13" s="8">
        <v>-1.460779469524043</v>
      </c>
      <c r="AF13" s="8">
        <v>5.8064916551257451</v>
      </c>
      <c r="AG13" s="5" t="s">
        <v>223</v>
      </c>
      <c r="AH13" s="8">
        <v>-6.5071694486824372</v>
      </c>
      <c r="AI13" s="8">
        <v>-7.2236964944199844</v>
      </c>
      <c r="AJ13" s="4">
        <v>23149.063372799999</v>
      </c>
      <c r="AK13" s="8">
        <v>98.203829999999996</v>
      </c>
      <c r="AL13" s="5"/>
      <c r="AM13" s="8">
        <v>0.18645999999999999</v>
      </c>
      <c r="AN13" s="8">
        <v>27.5</v>
      </c>
      <c r="AO13" s="8">
        <v>34.1</v>
      </c>
    </row>
    <row r="14" spans="1:41" x14ac:dyDescent="0.35">
      <c r="A14" s="4">
        <v>10</v>
      </c>
      <c r="B14" s="5" t="s">
        <v>92</v>
      </c>
      <c r="C14" s="5" t="s">
        <v>68</v>
      </c>
      <c r="D14" s="4">
        <v>75</v>
      </c>
      <c r="E14" s="7">
        <v>856.54998779296875</v>
      </c>
      <c r="F14" s="7">
        <v>807.82790295760242</v>
      </c>
      <c r="G14" s="7">
        <v>798.04802686191692</v>
      </c>
      <c r="H14" s="7">
        <v>728.24344344041538</v>
      </c>
      <c r="I14" s="8">
        <v>60.200656975111769</v>
      </c>
      <c r="J14" s="7">
        <v>20.316275874887079</v>
      </c>
      <c r="K14" s="7">
        <v>12.478738603729809</v>
      </c>
      <c r="L14" s="7">
        <v>7.8375372711572737</v>
      </c>
      <c r="M14" s="8">
        <v>35.949778649559008</v>
      </c>
      <c r="N14" s="8">
        <v>32.39752311347209</v>
      </c>
      <c r="O14" s="8">
        <v>8.4364724316055693</v>
      </c>
      <c r="P14" s="7">
        <v>43.28501326056525</v>
      </c>
      <c r="Q14" s="8">
        <v>5.053413563415682</v>
      </c>
      <c r="R14" s="8">
        <v>2.177227596872668</v>
      </c>
      <c r="S14" s="5" t="s">
        <v>221</v>
      </c>
      <c r="T14" s="8">
        <v>1.314218434809074</v>
      </c>
      <c r="U14" s="8">
        <v>0.89295269296232027</v>
      </c>
      <c r="V14" s="8">
        <v>17.61127301370378</v>
      </c>
      <c r="W14" s="5" t="s">
        <v>222</v>
      </c>
      <c r="X14" s="8">
        <v>61.7242586613214</v>
      </c>
      <c r="Y14" s="8">
        <v>81.439052135759837</v>
      </c>
      <c r="Z14" s="8">
        <v>-3.1982809034072468</v>
      </c>
      <c r="AA14" s="8">
        <v>6.4301690836149117</v>
      </c>
      <c r="AB14" s="8">
        <v>10.62964001200759</v>
      </c>
      <c r="AC14" s="8">
        <v>-8.1925997964547914</v>
      </c>
      <c r="AD14" s="8">
        <v>-4.092485588636297</v>
      </c>
      <c r="AE14" s="8">
        <v>-22.238378363606689</v>
      </c>
      <c r="AF14" s="8">
        <v>6.0312455978539514</v>
      </c>
      <c r="AG14" s="5" t="s">
        <v>223</v>
      </c>
      <c r="AH14" s="8">
        <v>-6.5071694486824372</v>
      </c>
      <c r="AI14" s="8">
        <v>-7.2236964944199844</v>
      </c>
      <c r="AJ14" s="4">
        <v>15212.258918400001</v>
      </c>
      <c r="AK14" s="8">
        <v>67.872420000000005</v>
      </c>
      <c r="AL14" s="5"/>
      <c r="AM14" s="8">
        <v>0.89593999999999996</v>
      </c>
      <c r="AN14" s="8">
        <v>23.9</v>
      </c>
      <c r="AO14" s="8">
        <v>12.9</v>
      </c>
    </row>
    <row r="15" spans="1:41" x14ac:dyDescent="0.35">
      <c r="A15" s="4">
        <v>11</v>
      </c>
      <c r="B15" s="5" t="s">
        <v>96</v>
      </c>
      <c r="C15" s="5" t="s">
        <v>98</v>
      </c>
      <c r="D15" s="4">
        <v>74</v>
      </c>
      <c r="E15" s="7">
        <v>1875.800048828125</v>
      </c>
      <c r="F15" s="7">
        <v>1736.199550380245</v>
      </c>
      <c r="G15" s="7">
        <v>1723.3183117936389</v>
      </c>
      <c r="H15" s="7">
        <v>1488.8594566842751</v>
      </c>
      <c r="I15" s="8">
        <v>62.277495128253207</v>
      </c>
      <c r="J15" s="7">
        <v>16.0155492853205</v>
      </c>
      <c r="K15" s="7">
        <v>-9.087823896416138</v>
      </c>
      <c r="L15" s="7">
        <v>25.103373181736639</v>
      </c>
      <c r="M15" s="8">
        <v>22.623310025324422</v>
      </c>
      <c r="N15" s="8">
        <v>31.094831545866651</v>
      </c>
      <c r="O15" s="8">
        <v>15.474487229194001</v>
      </c>
      <c r="P15" s="7">
        <v>88.527030077281793</v>
      </c>
      <c r="Q15" s="8">
        <v>4.7194278586668972</v>
      </c>
      <c r="R15" s="8">
        <v>2.0167355236502882</v>
      </c>
      <c r="S15" s="5" t="s">
        <v>221</v>
      </c>
      <c r="T15" s="8">
        <v>1.8092914431168601</v>
      </c>
      <c r="U15" s="8">
        <v>0.85815707301766186</v>
      </c>
      <c r="V15" s="8">
        <v>25.305138199749379</v>
      </c>
      <c r="W15" s="5" t="s">
        <v>224</v>
      </c>
      <c r="X15" s="8">
        <v>77.870813397129183</v>
      </c>
      <c r="Y15" s="8">
        <v>84.215748194027327</v>
      </c>
      <c r="Z15" s="8">
        <v>0.34772373777418603</v>
      </c>
      <c r="AA15" s="8">
        <v>14.783998584934491</v>
      </c>
      <c r="AB15" s="8">
        <v>-0.31354107970698042</v>
      </c>
      <c r="AC15" s="8">
        <v>13.499128955504419</v>
      </c>
      <c r="AD15" s="8">
        <v>-4.6994867502580302</v>
      </c>
      <c r="AE15" s="8">
        <v>-12.85887003022553</v>
      </c>
      <c r="AF15" s="8">
        <v>8.0405791153042028</v>
      </c>
      <c r="AG15" s="5" t="s">
        <v>223</v>
      </c>
      <c r="AH15" s="8">
        <v>-6.5071694486824372</v>
      </c>
      <c r="AI15" s="8">
        <v>-7.2236964944199844</v>
      </c>
      <c r="AJ15" s="4">
        <v>13892.1443328</v>
      </c>
      <c r="AK15" s="8">
        <v>31.397286999999999</v>
      </c>
      <c r="AL15" s="5"/>
      <c r="AM15" s="8">
        <v>5.4610000000000013E-2</v>
      </c>
      <c r="AN15" s="8">
        <v>48</v>
      </c>
      <c r="AO15" s="5"/>
    </row>
    <row r="16" spans="1:41" x14ac:dyDescent="0.35">
      <c r="A16" s="4">
        <v>12</v>
      </c>
      <c r="B16" s="5" t="s">
        <v>101</v>
      </c>
      <c r="C16" s="5" t="s">
        <v>68</v>
      </c>
      <c r="D16" s="4">
        <v>74</v>
      </c>
      <c r="E16" s="7">
        <v>140.47999572753909</v>
      </c>
      <c r="F16" s="7">
        <v>130.66034231106511</v>
      </c>
      <c r="G16" s="7">
        <v>127.7637772064561</v>
      </c>
      <c r="H16" s="7">
        <v>124.44906539874189</v>
      </c>
      <c r="I16" s="8">
        <v>61.719566264958431</v>
      </c>
      <c r="J16" s="7">
        <v>2.200758518870884</v>
      </c>
      <c r="K16" s="7">
        <v>1.474882914578967</v>
      </c>
      <c r="L16" s="7">
        <v>0.72587560429191744</v>
      </c>
      <c r="M16" s="8">
        <v>20.179443605884121</v>
      </c>
      <c r="N16" s="8">
        <v>30.4574487570809</v>
      </c>
      <c r="O16" s="8">
        <v>17.623483647307872</v>
      </c>
      <c r="P16" s="7">
        <v>6.4455554753050288</v>
      </c>
      <c r="Q16" s="8">
        <v>4.5882372375681042</v>
      </c>
      <c r="R16" s="8">
        <v>1.2667410805295121</v>
      </c>
      <c r="S16" s="5" t="s">
        <v>221</v>
      </c>
      <c r="T16" s="8">
        <v>3.8303702242369488</v>
      </c>
      <c r="U16" s="8">
        <v>0.91350052327400166</v>
      </c>
      <c r="V16" s="8">
        <v>17.01186409665323</v>
      </c>
      <c r="W16" s="5" t="s">
        <v>224</v>
      </c>
      <c r="X16" s="8">
        <v>96.197680883810506</v>
      </c>
      <c r="Y16" s="8">
        <v>85.625955926548684</v>
      </c>
      <c r="Z16" s="8">
        <v>0.65199423627342323</v>
      </c>
      <c r="AA16" s="8">
        <v>13.76740517366604</v>
      </c>
      <c r="AB16" s="8">
        <v>8.3365448532740416</v>
      </c>
      <c r="AC16" s="8">
        <v>-7.2004285927401268</v>
      </c>
      <c r="AD16" s="8">
        <v>0.19971382695553869</v>
      </c>
      <c r="AE16" s="8">
        <v>-13.27860302253815</v>
      </c>
      <c r="AF16" s="8">
        <v>7.5154046306538769</v>
      </c>
      <c r="AG16" s="5" t="s">
        <v>223</v>
      </c>
      <c r="AH16" s="8">
        <v>-6.5071694486824372</v>
      </c>
      <c r="AI16" s="8">
        <v>-7.2236964944199844</v>
      </c>
      <c r="AJ16" s="4">
        <v>40861.034086400003</v>
      </c>
      <c r="AK16" s="8">
        <v>1756</v>
      </c>
      <c r="AL16" s="5"/>
      <c r="AM16" s="8">
        <v>0.23018</v>
      </c>
      <c r="AN16" s="8">
        <v>23.9</v>
      </c>
      <c r="AO16" s="5"/>
    </row>
    <row r="17" spans="1:41" x14ac:dyDescent="0.35">
      <c r="A17" s="4">
        <v>13</v>
      </c>
      <c r="B17" s="5" t="s">
        <v>104</v>
      </c>
      <c r="C17" s="5" t="s">
        <v>98</v>
      </c>
      <c r="D17" s="4">
        <v>73</v>
      </c>
      <c r="E17" s="7">
        <v>13723</v>
      </c>
      <c r="F17" s="7">
        <v>12910.95393586359</v>
      </c>
      <c r="G17" s="7">
        <v>12068.05049593361</v>
      </c>
      <c r="H17" s="7">
        <v>10563.17368719884</v>
      </c>
      <c r="I17" s="8">
        <v>68.425649218523418</v>
      </c>
      <c r="J17" s="7">
        <v>650.26340562724363</v>
      </c>
      <c r="K17" s="7">
        <v>519.34398523252639</v>
      </c>
      <c r="L17" s="7">
        <v>130.91942039471721</v>
      </c>
      <c r="M17" s="8">
        <v>46.611343270787557</v>
      </c>
      <c r="N17" s="8">
        <v>36.558973541511023</v>
      </c>
      <c r="O17" s="8">
        <v>14.81933769520373</v>
      </c>
      <c r="P17" s="7">
        <v>505.62820327237552</v>
      </c>
      <c r="Q17" s="8">
        <v>3.684531103056004</v>
      </c>
      <c r="R17" s="8">
        <v>0.99959181668673713</v>
      </c>
      <c r="S17" s="5" t="s">
        <v>221</v>
      </c>
      <c r="T17" s="8">
        <v>1.783277607084764</v>
      </c>
      <c r="U17" s="8">
        <v>0.79427702966004543</v>
      </c>
      <c r="V17" s="8">
        <v>27.877785206941159</v>
      </c>
      <c r="W17" s="5" t="s">
        <v>224</v>
      </c>
      <c r="X17" s="8">
        <v>74.268567141785439</v>
      </c>
      <c r="Y17" s="8">
        <v>88.495544670240974</v>
      </c>
      <c r="Z17" s="8">
        <v>-3.893830100147067</v>
      </c>
      <c r="AA17" s="8">
        <v>5.0363566781477243</v>
      </c>
      <c r="AB17" s="8">
        <v>17.753561009095598</v>
      </c>
      <c r="AC17" s="8">
        <v>30.156201127232649</v>
      </c>
      <c r="AD17" s="8">
        <v>-4.7609133180650964</v>
      </c>
      <c r="AE17" s="8">
        <v>-4.7609133180650964</v>
      </c>
      <c r="AF17" s="8">
        <v>6.2895899727497317</v>
      </c>
      <c r="AG17" s="5" t="s">
        <v>223</v>
      </c>
      <c r="AH17" s="8">
        <v>-6.5071694486824372</v>
      </c>
      <c r="AI17" s="8">
        <v>-7.2236964944199844</v>
      </c>
      <c r="AJ17" s="4">
        <v>9094.4217088000005</v>
      </c>
      <c r="AK17" s="8">
        <v>214.29028</v>
      </c>
      <c r="AL17" s="5"/>
      <c r="AM17" s="8">
        <v>0.80386999999999997</v>
      </c>
      <c r="AN17" s="8">
        <v>14.5</v>
      </c>
      <c r="AO17" s="8">
        <v>93.100000000000009</v>
      </c>
    </row>
    <row r="18" spans="1:41" x14ac:dyDescent="0.35">
      <c r="A18" s="4">
        <v>14</v>
      </c>
      <c r="B18" s="5" t="s">
        <v>107</v>
      </c>
      <c r="C18" s="5" t="s">
        <v>98</v>
      </c>
      <c r="D18" s="4">
        <v>73</v>
      </c>
      <c r="E18" s="7">
        <v>471.10000610351563</v>
      </c>
      <c r="F18" s="7">
        <v>448.88944612175789</v>
      </c>
      <c r="G18" s="7">
        <v>432.03401569853719</v>
      </c>
      <c r="H18" s="7">
        <v>361.71551351153022</v>
      </c>
      <c r="I18" s="8">
        <v>58.315613465753728</v>
      </c>
      <c r="J18" s="7">
        <v>7.6913448668597653</v>
      </c>
      <c r="K18" s="7">
        <v>6.2881044659239631</v>
      </c>
      <c r="L18" s="7">
        <v>1.4032404009358019</v>
      </c>
      <c r="M18" s="8">
        <v>32.722082005718981</v>
      </c>
      <c r="N18" s="8">
        <v>25.821320956959219</v>
      </c>
      <c r="O18" s="8">
        <v>8.8504533318628447</v>
      </c>
      <c r="P18" s="7">
        <v>21.999941965738049</v>
      </c>
      <c r="Q18" s="8">
        <v>4.6699090810251356</v>
      </c>
      <c r="R18" s="8">
        <v>0.5465320086698493</v>
      </c>
      <c r="S18" s="5" t="s">
        <v>221</v>
      </c>
      <c r="T18" s="8">
        <v>1.8529509768771311</v>
      </c>
      <c r="U18" s="8">
        <v>0.93579271441391554</v>
      </c>
      <c r="V18" s="8">
        <v>12.129839952129339</v>
      </c>
      <c r="W18" s="5" t="s">
        <v>222</v>
      </c>
      <c r="X18" s="8">
        <v>74.307956056813367</v>
      </c>
      <c r="Y18" s="8">
        <v>68.949891282421049</v>
      </c>
      <c r="Z18" s="8">
        <v>-0.43326383164178361</v>
      </c>
      <c r="AA18" s="8">
        <v>8.3112985129144779</v>
      </c>
      <c r="AB18" s="8">
        <v>4.7354421717660689</v>
      </c>
      <c r="AC18" s="8">
        <v>15.021264062196259</v>
      </c>
      <c r="AD18" s="8">
        <v>-3.0558711247009929</v>
      </c>
      <c r="AE18" s="8">
        <v>-3.0558711247009929</v>
      </c>
      <c r="AF18" s="8">
        <v>4.9478908835235202</v>
      </c>
      <c r="AG18" s="5" t="s">
        <v>223</v>
      </c>
      <c r="AH18" s="8">
        <v>-6.5071694486824372</v>
      </c>
      <c r="AI18" s="8">
        <v>-7.2236964944199844</v>
      </c>
      <c r="AJ18" s="4">
        <v>8892.6396416000007</v>
      </c>
      <c r="AK18" s="8">
        <v>58.923884999999999</v>
      </c>
      <c r="AL18" s="5"/>
      <c r="AM18" s="8">
        <v>0.56991999999999998</v>
      </c>
      <c r="AN18" s="8">
        <v>25.9</v>
      </c>
      <c r="AO18" s="8">
        <v>67</v>
      </c>
    </row>
    <row r="19" spans="1:41" x14ac:dyDescent="0.35">
      <c r="A19" s="4">
        <v>15</v>
      </c>
      <c r="B19" s="5" t="s">
        <v>111</v>
      </c>
      <c r="C19" s="5" t="s">
        <v>61</v>
      </c>
      <c r="D19" s="4">
        <v>73</v>
      </c>
      <c r="E19" s="7">
        <v>3214</v>
      </c>
      <c r="F19" s="7">
        <v>2971.0207697470391</v>
      </c>
      <c r="G19" s="7">
        <v>2801.9408735332991</v>
      </c>
      <c r="H19" s="7">
        <v>2191.4671617182148</v>
      </c>
      <c r="I19" s="8">
        <v>65.252695263062208</v>
      </c>
      <c r="J19" s="7">
        <v>83.554399347183789</v>
      </c>
      <c r="K19" s="7">
        <v>63.215937280720112</v>
      </c>
      <c r="L19" s="7">
        <v>20.338462066463681</v>
      </c>
      <c r="M19" s="8">
        <v>19.33967687210481</v>
      </c>
      <c r="N19" s="8">
        <v>32.93953382516451</v>
      </c>
      <c r="O19" s="8">
        <v>18.05794691249821</v>
      </c>
      <c r="P19" s="7">
        <v>145.49575553577191</v>
      </c>
      <c r="Q19" s="8">
        <v>4.5269370110694416</v>
      </c>
      <c r="R19" s="8">
        <v>0.67089692099798803</v>
      </c>
      <c r="S19" s="5" t="s">
        <v>221</v>
      </c>
      <c r="T19" s="8">
        <v>2.7510196456925811</v>
      </c>
      <c r="U19" s="8">
        <v>1.0292258193141901</v>
      </c>
      <c r="V19" s="8">
        <v>17.479161334760381</v>
      </c>
      <c r="W19" s="5" t="s">
        <v>222</v>
      </c>
      <c r="X19" s="8">
        <v>90.241718889883614</v>
      </c>
      <c r="Y19" s="8">
        <v>86.304640152362651</v>
      </c>
      <c r="Z19" s="8">
        <v>0.36536086542411361</v>
      </c>
      <c r="AA19" s="8">
        <v>4.8681789609382076</v>
      </c>
      <c r="AB19" s="8">
        <v>5.9537187139984349</v>
      </c>
      <c r="AC19" s="8">
        <v>43.680993353009526</v>
      </c>
      <c r="AD19" s="8">
        <v>-0.86366440468846895</v>
      </c>
      <c r="AE19" s="8">
        <v>-1.667431543521491</v>
      </c>
      <c r="AF19" s="8">
        <v>8.1783080322810555</v>
      </c>
      <c r="AG19" s="5" t="s">
        <v>223</v>
      </c>
      <c r="AH19" s="8">
        <v>-6.5071694486824372</v>
      </c>
      <c r="AI19" s="8">
        <v>-7.2236964944199844</v>
      </c>
      <c r="AJ19" s="4">
        <v>8260.3966464000005</v>
      </c>
      <c r="AK19" s="8">
        <v>60.522205</v>
      </c>
      <c r="AL19" s="5"/>
      <c r="AM19" s="8">
        <v>0.38763999999999998</v>
      </c>
      <c r="AN19" s="8">
        <v>138.1</v>
      </c>
      <c r="AO19" s="8">
        <v>392.2</v>
      </c>
    </row>
    <row r="20" spans="1:41" x14ac:dyDescent="0.35">
      <c r="A20" s="4">
        <v>1</v>
      </c>
      <c r="B20" s="5" t="s">
        <v>115</v>
      </c>
      <c r="C20" s="5" t="s">
        <v>68</v>
      </c>
      <c r="D20" s="4">
        <v>72</v>
      </c>
      <c r="E20" s="7">
        <v>1343.800048828125</v>
      </c>
      <c r="F20" s="7">
        <v>1251.8970189935401</v>
      </c>
      <c r="G20" s="7">
        <v>1204.5480908073239</v>
      </c>
      <c r="H20" s="7">
        <v>1101.4192808833971</v>
      </c>
      <c r="I20" s="8">
        <v>61.979515934467372</v>
      </c>
      <c r="J20" s="7">
        <v>16.07570304722071</v>
      </c>
      <c r="K20" s="7">
        <v>17.303640664609549</v>
      </c>
      <c r="L20" s="7">
        <v>-1.2279376173888359</v>
      </c>
      <c r="M20" s="8">
        <v>24.493121542127291</v>
      </c>
      <c r="N20" s="8">
        <v>33.743706154901112</v>
      </c>
      <c r="O20" s="8">
        <v>15.532637450223991</v>
      </c>
      <c r="P20" s="7">
        <v>53.553075050936748</v>
      </c>
      <c r="Q20" s="8">
        <v>3.9851966888703618</v>
      </c>
      <c r="R20" s="8">
        <v>6.8798879857018509</v>
      </c>
      <c r="S20" s="5" t="s">
        <v>221</v>
      </c>
      <c r="T20" s="8">
        <v>2.0862696789995789</v>
      </c>
      <c r="U20" s="8">
        <v>0.92198161204394968</v>
      </c>
      <c r="V20" s="8">
        <v>16.338873297166948</v>
      </c>
      <c r="W20" s="5" t="s">
        <v>224</v>
      </c>
      <c r="X20" s="8">
        <v>83.98761138279869</v>
      </c>
      <c r="Y20" s="8">
        <v>50.343941622033377</v>
      </c>
      <c r="Z20" s="8">
        <v>7.5556285072376106</v>
      </c>
      <c r="AA20" s="8">
        <v>12.914887521656681</v>
      </c>
      <c r="AB20" s="8">
        <v>9.5013121166527483</v>
      </c>
      <c r="AC20" s="8">
        <v>37.649172735275293</v>
      </c>
      <c r="AD20" s="8">
        <v>-1.03107965065129</v>
      </c>
      <c r="AE20" s="8">
        <v>-2.25487335605089</v>
      </c>
      <c r="AF20" s="8">
        <v>7.3411014197054536</v>
      </c>
      <c r="AG20" s="5" t="s">
        <v>223</v>
      </c>
      <c r="AH20" s="8">
        <v>-6.5071694486824372</v>
      </c>
      <c r="AI20" s="8">
        <v>-7.2236964944199844</v>
      </c>
      <c r="AJ20" s="4">
        <v>12585.470361600001</v>
      </c>
      <c r="AK20" s="8">
        <v>47.246482999999998</v>
      </c>
      <c r="AL20" s="5"/>
      <c r="AM20" s="8">
        <v>0.91874</v>
      </c>
      <c r="AN20" s="8">
        <v>10.4</v>
      </c>
      <c r="AO20" s="5"/>
    </row>
    <row r="21" spans="1:41" x14ac:dyDescent="0.35">
      <c r="A21" s="4">
        <v>2</v>
      </c>
      <c r="B21" s="5" t="s">
        <v>121</v>
      </c>
      <c r="C21" s="5" t="s">
        <v>123</v>
      </c>
      <c r="D21" s="4">
        <v>72</v>
      </c>
      <c r="E21" s="7">
        <v>520.25</v>
      </c>
      <c r="F21" s="7">
        <v>508.24718122935423</v>
      </c>
      <c r="G21" s="7">
        <v>502.37231891067859</v>
      </c>
      <c r="H21" s="7">
        <v>467.42158006257893</v>
      </c>
      <c r="I21" s="8">
        <v>56.764202968172967</v>
      </c>
      <c r="J21" s="7">
        <v>3.1842452814919402</v>
      </c>
      <c r="K21" s="7">
        <v>3.0411414476059648</v>
      </c>
      <c r="L21" s="7">
        <v>0.14310383388597489</v>
      </c>
      <c r="M21" s="8">
        <v>13.336663482997119</v>
      </c>
      <c r="N21" s="8">
        <v>26.73936278160031</v>
      </c>
      <c r="O21" s="8">
        <v>20.542892633088439</v>
      </c>
      <c r="P21" s="7">
        <v>16.6606981491861</v>
      </c>
      <c r="Q21" s="8">
        <v>3.2024407783154429</v>
      </c>
      <c r="R21" s="8">
        <v>0.93032853048223463</v>
      </c>
      <c r="S21" s="5" t="s">
        <v>221</v>
      </c>
      <c r="T21" s="8">
        <v>1.4674140990743489</v>
      </c>
      <c r="U21" s="8">
        <v>0.70210101045274875</v>
      </c>
      <c r="V21" s="8">
        <v>13.048914022156699</v>
      </c>
      <c r="W21" s="5" t="s">
        <v>224</v>
      </c>
      <c r="X21" s="8">
        <v>65.929902585621377</v>
      </c>
      <c r="Y21" s="8">
        <v>63.99917402853324</v>
      </c>
      <c r="Z21" s="8">
        <v>0.68705006949880687</v>
      </c>
      <c r="AA21" s="8">
        <v>4.2794159881159421</v>
      </c>
      <c r="AB21" s="8">
        <v>1.186419390505566</v>
      </c>
      <c r="AC21" s="8">
        <v>7.0475939780503927</v>
      </c>
      <c r="AD21" s="8">
        <v>-4.1190520810109543</v>
      </c>
      <c r="AE21" s="8">
        <v>-4.1190520810109543</v>
      </c>
      <c r="AF21" s="8">
        <v>2.3616104946442058</v>
      </c>
      <c r="AG21" s="5" t="s">
        <v>223</v>
      </c>
      <c r="AH21" s="8">
        <v>-6.5071694486824372</v>
      </c>
      <c r="AI21" s="8">
        <v>-7.2236964944199844</v>
      </c>
      <c r="AJ21" s="4">
        <v>15340.252364800001</v>
      </c>
      <c r="AK21" s="8">
        <v>28.863116999999999</v>
      </c>
      <c r="AL21" s="5"/>
      <c r="AM21" s="8">
        <v>6.9220000000000004E-2</v>
      </c>
      <c r="AN21" s="8">
        <v>16.399999999999999</v>
      </c>
      <c r="AO21" s="8">
        <v>40.799999999999997</v>
      </c>
    </row>
    <row r="22" spans="1:41" x14ac:dyDescent="0.35">
      <c r="A22" s="4">
        <v>3</v>
      </c>
      <c r="B22" s="5" t="s">
        <v>125</v>
      </c>
      <c r="C22" s="5" t="s">
        <v>61</v>
      </c>
      <c r="D22" s="4">
        <v>71</v>
      </c>
      <c r="E22" s="7">
        <v>1704.5</v>
      </c>
      <c r="F22" s="7">
        <v>1682.967478943915</v>
      </c>
      <c r="G22" s="7">
        <v>1640.6422723673129</v>
      </c>
      <c r="H22" s="7">
        <v>1496.08251479724</v>
      </c>
      <c r="I22" s="8">
        <v>54.896567518343602</v>
      </c>
      <c r="J22" s="7">
        <v>6.3141563099557061</v>
      </c>
      <c r="K22" s="7">
        <v>8.6538846150749027</v>
      </c>
      <c r="L22" s="7">
        <v>-2.339728305119197</v>
      </c>
      <c r="M22" s="8">
        <v>15.96547501900085</v>
      </c>
      <c r="N22" s="8">
        <v>21.751887731649958</v>
      </c>
      <c r="O22" s="8">
        <v>14.906308413943449</v>
      </c>
      <c r="P22" s="7">
        <v>60.334473286665443</v>
      </c>
      <c r="Q22" s="8">
        <v>3.5397168252663791</v>
      </c>
      <c r="R22" s="8">
        <v>11.67668176208662</v>
      </c>
      <c r="S22" s="5" t="s">
        <v>221</v>
      </c>
      <c r="T22" s="8">
        <v>4.8089927592991097</v>
      </c>
      <c r="U22" s="8">
        <v>0.72431540092405922</v>
      </c>
      <c r="V22" s="8">
        <v>5.686975666817415</v>
      </c>
      <c r="W22" s="5" t="s">
        <v>222</v>
      </c>
      <c r="X22" s="8">
        <v>54.147014422894877</v>
      </c>
      <c r="Y22" s="8">
        <v>51.877822639135012</v>
      </c>
      <c r="Z22" s="8">
        <v>0.66737828691196821</v>
      </c>
      <c r="AA22" s="8">
        <v>1.175286365643458</v>
      </c>
      <c r="AB22" s="8">
        <v>0.92367667478421289</v>
      </c>
      <c r="AC22" s="8">
        <v>15.06007640807081</v>
      </c>
      <c r="AD22" s="8">
        <v>-2.4885583524027481</v>
      </c>
      <c r="AE22" s="8">
        <v>-3.836389280677011</v>
      </c>
      <c r="AF22" s="8">
        <v>1.2794377387254969</v>
      </c>
      <c r="AG22" s="5" t="s">
        <v>223</v>
      </c>
      <c r="AH22" s="8">
        <v>-6.5071694486824372</v>
      </c>
      <c r="AI22" s="8">
        <v>-7.2236964944199844</v>
      </c>
      <c r="AJ22" s="4">
        <v>17795.550412799999</v>
      </c>
      <c r="AK22" s="8">
        <v>67.771454000000006</v>
      </c>
      <c r="AL22" s="5"/>
      <c r="AM22" s="8">
        <v>0.48762</v>
      </c>
      <c r="AN22" s="8">
        <v>81.100000000000009</v>
      </c>
      <c r="AO22" s="8">
        <v>32.299999999999997</v>
      </c>
    </row>
    <row r="23" spans="1:41" x14ac:dyDescent="0.35">
      <c r="A23" s="4">
        <v>4</v>
      </c>
      <c r="B23" s="5" t="s">
        <v>129</v>
      </c>
      <c r="C23" s="5" t="s">
        <v>98</v>
      </c>
      <c r="D23" s="4">
        <v>70</v>
      </c>
      <c r="E23" s="7">
        <v>187.1199951171875</v>
      </c>
      <c r="F23" s="7">
        <v>178.549330763271</v>
      </c>
      <c r="G23" s="7">
        <v>164.20659276922689</v>
      </c>
      <c r="H23" s="7">
        <v>135.2674627991845</v>
      </c>
      <c r="I23" s="8">
        <v>61.251120252905011</v>
      </c>
      <c r="J23" s="7">
        <v>7.8080284298638389</v>
      </c>
      <c r="K23" s="7">
        <v>7.4984669940096742</v>
      </c>
      <c r="L23" s="7">
        <v>0.30956143585416468</v>
      </c>
      <c r="M23" s="8">
        <v>49.421530133477198</v>
      </c>
      <c r="N23" s="8">
        <v>30.103136185620841</v>
      </c>
      <c r="O23" s="8">
        <v>7.7995635999142836</v>
      </c>
      <c r="P23" s="7">
        <v>10.323928361446439</v>
      </c>
      <c r="Q23" s="8">
        <v>5.5172769510713611</v>
      </c>
      <c r="R23" s="8">
        <v>0.95503256072216192</v>
      </c>
      <c r="S23" s="5" t="s">
        <v>221</v>
      </c>
      <c r="T23" s="8">
        <v>4.8613613730084708</v>
      </c>
      <c r="U23" s="8">
        <v>0.78314662590495376</v>
      </c>
      <c r="V23" s="8">
        <v>15.959194010398679</v>
      </c>
      <c r="W23" s="5" t="s">
        <v>222</v>
      </c>
      <c r="X23" s="8">
        <v>43.115119056412347</v>
      </c>
      <c r="Y23" s="8">
        <v>55.133434674492513</v>
      </c>
      <c r="Z23" s="8">
        <v>-3.3570912942467062</v>
      </c>
      <c r="AA23" s="8">
        <v>6.3846698314332873</v>
      </c>
      <c r="AB23" s="8">
        <v>8.2807694929465825</v>
      </c>
      <c r="AC23" s="8">
        <v>45.562030863467022</v>
      </c>
      <c r="AD23" s="8">
        <v>-10.810299144264141</v>
      </c>
      <c r="AE23" s="5"/>
      <c r="AF23" s="8">
        <v>4.8001660478245611</v>
      </c>
      <c r="AG23" s="5" t="s">
        <v>223</v>
      </c>
      <c r="AH23" s="8">
        <v>-6.5071694486824372</v>
      </c>
      <c r="AI23" s="8">
        <v>-7.2236964944199844</v>
      </c>
      <c r="AJ23" s="4">
        <v>1424.7694336</v>
      </c>
      <c r="AK23" s="8">
        <v>71.145675999999995</v>
      </c>
      <c r="AL23" s="5"/>
      <c r="AM23" s="8">
        <v>0.11427</v>
      </c>
      <c r="AN23" s="8">
        <v>124.7</v>
      </c>
      <c r="AO23" s="8">
        <v>-22.4</v>
      </c>
    </row>
    <row r="24" spans="1:41" x14ac:dyDescent="0.35">
      <c r="A24" s="4">
        <v>5</v>
      </c>
      <c r="B24" s="5" t="s">
        <v>131</v>
      </c>
      <c r="C24" s="5" t="s">
        <v>123</v>
      </c>
      <c r="D24" s="4">
        <v>70</v>
      </c>
      <c r="E24" s="7">
        <v>166.63999938964841</v>
      </c>
      <c r="F24" s="7">
        <v>164.4276695448529</v>
      </c>
      <c r="G24" s="7">
        <v>160.0042400244088</v>
      </c>
      <c r="H24" s="7">
        <v>156.17118168935119</v>
      </c>
      <c r="I24" s="8">
        <v>56.254006768120718</v>
      </c>
      <c r="J24" s="7">
        <v>2.5194712816517888</v>
      </c>
      <c r="K24" s="7">
        <v>2.1902666800634161</v>
      </c>
      <c r="L24" s="7">
        <v>0.32920460158837361</v>
      </c>
      <c r="M24" s="8">
        <v>25.216673554858311</v>
      </c>
      <c r="N24" s="8">
        <v>24.835717760720868</v>
      </c>
      <c r="O24" s="8">
        <v>11.08882641449159</v>
      </c>
      <c r="P24" s="7">
        <v>4.8824432337847519</v>
      </c>
      <c r="Q24" s="8">
        <v>2.9299347405590819</v>
      </c>
      <c r="R24" s="8">
        <v>1.514050473324335</v>
      </c>
      <c r="S24" s="5" t="s">
        <v>221</v>
      </c>
      <c r="T24" s="8">
        <v>0.97854794164861603</v>
      </c>
      <c r="U24" s="8">
        <v>0.7083773042558027</v>
      </c>
      <c r="V24" s="8">
        <v>8.247567688912099</v>
      </c>
      <c r="W24" s="5" t="s">
        <v>222</v>
      </c>
      <c r="X24" s="8">
        <v>52.483900684995653</v>
      </c>
      <c r="Y24" s="8">
        <v>74.048238972604352</v>
      </c>
      <c r="Z24" s="8">
        <v>-3.374699697115791</v>
      </c>
      <c r="AA24" s="8">
        <v>-6.5967382519682705E-2</v>
      </c>
      <c r="AB24" s="8">
        <v>3.5159670843133868</v>
      </c>
      <c r="AC24" s="8">
        <v>12.73625652153267</v>
      </c>
      <c r="AD24" s="8">
        <v>-4.2298854082480242</v>
      </c>
      <c r="AE24" s="8">
        <v>-14.17867982778006</v>
      </c>
      <c r="AF24" s="8">
        <v>1.345472967487416</v>
      </c>
      <c r="AG24" s="5" t="s">
        <v>223</v>
      </c>
      <c r="AH24" s="8">
        <v>-6.5071694486824372</v>
      </c>
      <c r="AI24" s="8">
        <v>-7.2236964944199844</v>
      </c>
      <c r="AJ24" s="4">
        <v>8059.1405056000003</v>
      </c>
      <c r="AK24" s="8">
        <v>14.918531</v>
      </c>
      <c r="AL24" s="5"/>
      <c r="AM24" s="8">
        <v>1.5440000000000001E-2</v>
      </c>
      <c r="AN24" s="8">
        <v>32.5</v>
      </c>
      <c r="AO24" s="8">
        <v>41.7</v>
      </c>
    </row>
    <row r="25" spans="1:41" x14ac:dyDescent="0.35">
      <c r="A25" s="4">
        <v>6</v>
      </c>
      <c r="B25" s="5" t="s">
        <v>134</v>
      </c>
      <c r="C25" s="5" t="s">
        <v>61</v>
      </c>
      <c r="D25" s="4">
        <v>70</v>
      </c>
      <c r="E25" s="7">
        <v>435</v>
      </c>
      <c r="F25" s="7">
        <v>418.17465804616342</v>
      </c>
      <c r="G25" s="7">
        <v>409.91279295406082</v>
      </c>
      <c r="H25" s="7">
        <v>401.08870079890198</v>
      </c>
      <c r="I25" s="8">
        <v>64.935647280984071</v>
      </c>
      <c r="J25" s="7">
        <v>5.4420407379007543</v>
      </c>
      <c r="K25" s="7">
        <v>3.0137062448308019</v>
      </c>
      <c r="L25" s="7">
        <v>2.428334493069952</v>
      </c>
      <c r="M25" s="8">
        <v>32.174923298317488</v>
      </c>
      <c r="N25" s="8">
        <v>33.29719173645293</v>
      </c>
      <c r="O25" s="8">
        <v>12.02659888777039</v>
      </c>
      <c r="P25" s="7">
        <v>9.8194654176351541</v>
      </c>
      <c r="Q25" s="8">
        <v>2.2573483718701501</v>
      </c>
      <c r="R25" s="8">
        <v>1.084116387173788</v>
      </c>
      <c r="S25" s="5" t="s">
        <v>221</v>
      </c>
      <c r="T25" s="8">
        <v>2.440003859469996</v>
      </c>
      <c r="U25" s="8">
        <v>0.98211208546675643</v>
      </c>
      <c r="V25" s="8">
        <v>9.5035240413468891</v>
      </c>
      <c r="W25" s="5" t="s">
        <v>222</v>
      </c>
      <c r="X25" s="8">
        <v>86.111107488415712</v>
      </c>
      <c r="Y25" s="8">
        <v>91.286497494501177</v>
      </c>
      <c r="Z25" s="8">
        <v>-1.1363636363636349</v>
      </c>
      <c r="AA25" s="8">
        <v>4.3165467625899234</v>
      </c>
      <c r="AB25" s="8">
        <v>3.0561463420876618</v>
      </c>
      <c r="AC25" s="8">
        <v>15.5378486055777</v>
      </c>
      <c r="AD25" s="8">
        <v>-1.4722536806342059</v>
      </c>
      <c r="AE25" s="8">
        <v>-3.8501764401876688</v>
      </c>
      <c r="AF25" s="8">
        <v>4.023520227755939</v>
      </c>
      <c r="AG25" s="5" t="s">
        <v>223</v>
      </c>
      <c r="AH25" s="8">
        <v>-6.5071694486824372</v>
      </c>
      <c r="AI25" s="8">
        <v>-7.2236964944199844</v>
      </c>
      <c r="AJ25" s="4">
        <v>432732.8448512</v>
      </c>
      <c r="AK25" s="8">
        <v>21.566683000000001</v>
      </c>
      <c r="AL25" s="5"/>
      <c r="AM25" s="5"/>
      <c r="AN25" s="8">
        <v>21</v>
      </c>
      <c r="AO25" s="8">
        <v>22.5</v>
      </c>
    </row>
    <row r="26" spans="1:41" x14ac:dyDescent="0.35">
      <c r="A26" s="4">
        <v>7</v>
      </c>
      <c r="B26" s="5" t="s">
        <v>140</v>
      </c>
      <c r="C26" s="5" t="s">
        <v>61</v>
      </c>
      <c r="D26" s="4">
        <v>70</v>
      </c>
      <c r="E26" s="7">
        <v>1458.400024414062</v>
      </c>
      <c r="F26" s="7">
        <v>1402.2907781587601</v>
      </c>
      <c r="G26" s="7">
        <v>1381.583428766563</v>
      </c>
      <c r="H26" s="7">
        <v>1287.542911078453</v>
      </c>
      <c r="I26" s="8">
        <v>61.340947841303688</v>
      </c>
      <c r="J26" s="7">
        <v>7.3309063959852656</v>
      </c>
      <c r="K26" s="7">
        <v>4.716446429185936</v>
      </c>
      <c r="L26" s="7">
        <v>2.61445996679933</v>
      </c>
      <c r="M26" s="8">
        <v>24.563111780803428</v>
      </c>
      <c r="N26" s="8">
        <v>25.94141801620319</v>
      </c>
      <c r="O26" s="8">
        <v>16.398316394254319</v>
      </c>
      <c r="P26" s="7">
        <v>44.342959450660807</v>
      </c>
      <c r="Q26" s="8">
        <v>3.0405210304680552</v>
      </c>
      <c r="R26" s="8">
        <v>1.0117894011679001</v>
      </c>
      <c r="S26" s="5" t="s">
        <v>221</v>
      </c>
      <c r="T26" s="8">
        <v>1.466926377436246</v>
      </c>
      <c r="U26" s="8">
        <v>0.94997525254628323</v>
      </c>
      <c r="V26" s="8">
        <v>8.4645569129207612</v>
      </c>
      <c r="W26" s="5" t="s">
        <v>222</v>
      </c>
      <c r="X26" s="8">
        <v>78.191876976060243</v>
      </c>
      <c r="Y26" s="8">
        <v>60.266461911427093</v>
      </c>
      <c r="Z26" s="8">
        <v>0.47537198856786311</v>
      </c>
      <c r="AA26" s="8">
        <v>6.8346678262944272</v>
      </c>
      <c r="AB26" s="8">
        <v>3.6826425229068431</v>
      </c>
      <c r="AC26" s="8">
        <v>9.4566194604664524</v>
      </c>
      <c r="AD26" s="8">
        <v>-2.12080373059983</v>
      </c>
      <c r="AE26" s="8">
        <v>-2.12080373059983</v>
      </c>
      <c r="AF26" s="8">
        <v>4.0012561680663028</v>
      </c>
      <c r="AG26" s="5" t="s">
        <v>223</v>
      </c>
      <c r="AH26" s="8">
        <v>-6.5071694486824372</v>
      </c>
      <c r="AI26" s="8">
        <v>-7.2236964944199844</v>
      </c>
      <c r="AJ26" s="4">
        <v>23933.771776000001</v>
      </c>
      <c r="AK26" s="8">
        <v>21.059353000000002</v>
      </c>
      <c r="AL26" s="5"/>
      <c r="AM26" s="8">
        <v>0.45813999999999999</v>
      </c>
      <c r="AN26" s="8">
        <v>3.8</v>
      </c>
      <c r="AO26" s="8">
        <v>45.2</v>
      </c>
    </row>
    <row r="27" spans="1:41" x14ac:dyDescent="0.35">
      <c r="A27" s="4">
        <v>8</v>
      </c>
      <c r="B27" s="5" t="s">
        <v>146</v>
      </c>
      <c r="C27" s="5" t="s">
        <v>98</v>
      </c>
      <c r="D27" s="4">
        <v>70</v>
      </c>
      <c r="E27" s="7">
        <v>1615</v>
      </c>
      <c r="F27" s="7">
        <v>1532.287595502833</v>
      </c>
      <c r="G27" s="7">
        <v>1418.0903420873819</v>
      </c>
      <c r="H27" s="7">
        <v>1142.5350524490441</v>
      </c>
      <c r="I27" s="8">
        <v>61.376409114522048</v>
      </c>
      <c r="J27" s="7">
        <v>66.291850420829178</v>
      </c>
      <c r="K27" s="7">
        <v>62.712486698066932</v>
      </c>
      <c r="L27" s="7">
        <v>3.579363722762253</v>
      </c>
      <c r="M27" s="8">
        <v>24.115464656889351</v>
      </c>
      <c r="N27" s="8">
        <v>28.293817374874099</v>
      </c>
      <c r="O27" s="8">
        <v>16.795830400069939</v>
      </c>
      <c r="P27" s="7">
        <v>76.33937304787095</v>
      </c>
      <c r="Q27" s="8">
        <v>4.7268961639548577</v>
      </c>
      <c r="R27" s="8">
        <v>0.88885918244836826</v>
      </c>
      <c r="S27" s="5" t="s">
        <v>221</v>
      </c>
      <c r="T27" s="8">
        <v>1.5743722142991861</v>
      </c>
      <c r="U27" s="8">
        <v>0.79448399690562488</v>
      </c>
      <c r="V27" s="8">
        <v>19.986216978700519</v>
      </c>
      <c r="W27" s="5" t="s">
        <v>222</v>
      </c>
      <c r="X27" s="8">
        <v>74.314940812733994</v>
      </c>
      <c r="Y27" s="8">
        <v>83.93251816729088</v>
      </c>
      <c r="Z27" s="8">
        <v>-2.049978640657379</v>
      </c>
      <c r="AA27" s="8">
        <v>4.3359422084088273E-2</v>
      </c>
      <c r="AB27" s="8">
        <v>8.0777897237187304</v>
      </c>
      <c r="AC27" s="8">
        <v>46.985863667269577</v>
      </c>
      <c r="AD27" s="8">
        <v>-3.926234384295058</v>
      </c>
      <c r="AE27" s="8">
        <v>-3.926234384295058</v>
      </c>
      <c r="AF27" s="8">
        <v>5.3979686802870566</v>
      </c>
      <c r="AG27" s="5" t="s">
        <v>223</v>
      </c>
      <c r="AH27" s="8">
        <v>-6.5071694486824372</v>
      </c>
      <c r="AI27" s="8">
        <v>-7.2236964944199844</v>
      </c>
      <c r="AJ27" s="4">
        <v>11865.984204799999</v>
      </c>
      <c r="AK27" s="8">
        <v>89.029629999999997</v>
      </c>
      <c r="AL27" s="5"/>
      <c r="AM27" s="8">
        <v>5.1950000000000003E-2</v>
      </c>
      <c r="AN27" s="8">
        <v>31.7</v>
      </c>
      <c r="AO27" s="8">
        <v>49.5</v>
      </c>
    </row>
    <row r="28" spans="1:41" x14ac:dyDescent="0.35">
      <c r="A28" s="4">
        <v>9</v>
      </c>
      <c r="B28" s="5" t="s">
        <v>149</v>
      </c>
      <c r="C28" s="5" t="s">
        <v>98</v>
      </c>
      <c r="D28" s="4">
        <v>70</v>
      </c>
      <c r="E28" s="7">
        <v>2696.39990234375</v>
      </c>
      <c r="F28" s="7">
        <v>2582.9567699832751</v>
      </c>
      <c r="G28" s="7">
        <v>2551.0539483539392</v>
      </c>
      <c r="H28" s="7">
        <v>2103.4637025666921</v>
      </c>
      <c r="I28" s="8">
        <v>58.598910065792232</v>
      </c>
      <c r="J28" s="7">
        <v>24.174778010867609</v>
      </c>
      <c r="K28" s="7">
        <v>-13.051817878071279</v>
      </c>
      <c r="L28" s="7">
        <v>37.226595888938888</v>
      </c>
      <c r="M28" s="8">
        <v>27.781646138329879</v>
      </c>
      <c r="N28" s="8">
        <v>25.283906086540771</v>
      </c>
      <c r="O28" s="8">
        <v>12.679644630837981</v>
      </c>
      <c r="P28" s="7">
        <v>98.450612464459851</v>
      </c>
      <c r="Q28" s="8">
        <v>3.6511873620409632</v>
      </c>
      <c r="R28" s="8">
        <v>0.73818677065265026</v>
      </c>
      <c r="S28" s="5" t="s">
        <v>221</v>
      </c>
      <c r="T28" s="8">
        <v>1.2187696809496631</v>
      </c>
      <c r="U28" s="8">
        <v>0.89815960234184922</v>
      </c>
      <c r="V28" s="8">
        <v>18.669818778426102</v>
      </c>
      <c r="W28" s="5" t="s">
        <v>222</v>
      </c>
      <c r="X28" s="8">
        <v>73.974502783560268</v>
      </c>
      <c r="Y28" s="8">
        <v>83.548519654500936</v>
      </c>
      <c r="Z28" s="8">
        <v>-0.95868127295684058</v>
      </c>
      <c r="AA28" s="8">
        <v>7.0594694589647844</v>
      </c>
      <c r="AB28" s="8">
        <v>12.957135940431771</v>
      </c>
      <c r="AC28" s="8">
        <v>22.191505959467591</v>
      </c>
      <c r="AD28" s="8">
        <v>-3.9333099816094341</v>
      </c>
      <c r="AE28" s="8">
        <v>-9.6320176211958319</v>
      </c>
      <c r="AF28" s="8">
        <v>4.3919872635425294</v>
      </c>
      <c r="AG28" s="5" t="s">
        <v>223</v>
      </c>
      <c r="AH28" s="8">
        <v>-6.5071694486824372</v>
      </c>
      <c r="AI28" s="8">
        <v>-7.2236964944199844</v>
      </c>
      <c r="AJ28" s="4">
        <v>30497.767424000001</v>
      </c>
      <c r="AK28" s="8">
        <v>50.202939999999998</v>
      </c>
      <c r="AL28" s="5"/>
      <c r="AM28" s="8">
        <v>0.13092000000000001</v>
      </c>
      <c r="AN28" s="8">
        <v>53.900000000000013</v>
      </c>
      <c r="AO28" s="8">
        <v>128.5</v>
      </c>
    </row>
    <row r="29" spans="1:41" x14ac:dyDescent="0.35">
      <c r="A29" s="4">
        <v>10</v>
      </c>
      <c r="B29" s="5" t="s">
        <v>152</v>
      </c>
      <c r="C29" s="5" t="s">
        <v>123</v>
      </c>
      <c r="D29" s="4">
        <v>69</v>
      </c>
      <c r="E29" s="7">
        <v>429.60000610351563</v>
      </c>
      <c r="F29" s="7">
        <v>427.36348664720538</v>
      </c>
      <c r="G29" s="7">
        <v>420.41398432935478</v>
      </c>
      <c r="H29" s="7">
        <v>364.00770457822972</v>
      </c>
      <c r="I29" s="8">
        <v>51.74691371274394</v>
      </c>
      <c r="J29" s="7">
        <v>3.4670232660695892</v>
      </c>
      <c r="K29" s="7">
        <v>1.6794348583034691</v>
      </c>
      <c r="L29" s="7">
        <v>1.7875884077661199</v>
      </c>
      <c r="M29" s="8">
        <v>17.654069644597531</v>
      </c>
      <c r="N29" s="8">
        <v>27.67423719642149</v>
      </c>
      <c r="O29" s="8">
        <v>22.95197393307047</v>
      </c>
      <c r="P29" s="7">
        <v>13.76884821225604</v>
      </c>
      <c r="Q29" s="8">
        <v>3.2050391100176858</v>
      </c>
      <c r="R29" s="8">
        <v>1.584335330876532</v>
      </c>
      <c r="S29" s="5" t="s">
        <v>221</v>
      </c>
      <c r="T29" s="8">
        <v>1.6133890331538481</v>
      </c>
      <c r="U29" s="8">
        <v>0.57198204603093172</v>
      </c>
      <c r="V29" s="8">
        <v>11.049748216303289</v>
      </c>
      <c r="W29" s="5" t="s">
        <v>222</v>
      </c>
      <c r="X29" s="8">
        <v>50.609178839851673</v>
      </c>
      <c r="Y29" s="8">
        <v>77.64702624658797</v>
      </c>
      <c r="Z29" s="8">
        <v>-4.2140454618694312</v>
      </c>
      <c r="AA29" s="8">
        <v>3.3935032740109778</v>
      </c>
      <c r="AB29" s="8">
        <v>1.933798472042936</v>
      </c>
      <c r="AC29" s="8">
        <v>12.94177612402763</v>
      </c>
      <c r="AD29" s="8">
        <v>-5.7791436337435549</v>
      </c>
      <c r="AE29" s="8">
        <v>-5.7791436337435549</v>
      </c>
      <c r="AF29" s="8">
        <v>0.52332956047704826</v>
      </c>
      <c r="AG29" s="5" t="s">
        <v>223</v>
      </c>
      <c r="AH29" s="8">
        <v>-6.5071694486824372</v>
      </c>
      <c r="AI29" s="8">
        <v>-7.2236964944199844</v>
      </c>
      <c r="AJ29" s="4">
        <v>149589.44583680001</v>
      </c>
      <c r="AK29" s="8">
        <v>61.459229999999998</v>
      </c>
      <c r="AL29" s="5"/>
      <c r="AM29" s="8">
        <v>0.31312000000000001</v>
      </c>
      <c r="AN29" s="8">
        <v>40.299999999999997</v>
      </c>
      <c r="AO29" s="5"/>
    </row>
    <row r="30" spans="1:41" x14ac:dyDescent="0.35">
      <c r="A30" s="4">
        <v>11</v>
      </c>
      <c r="B30" s="5" t="s">
        <v>157</v>
      </c>
      <c r="C30" s="5" t="s">
        <v>123</v>
      </c>
      <c r="D30" s="4">
        <v>68</v>
      </c>
      <c r="E30" s="7">
        <v>693.45001220703125</v>
      </c>
      <c r="F30" s="7">
        <v>677.22420171841611</v>
      </c>
      <c r="G30" s="7">
        <v>648.31155219773473</v>
      </c>
      <c r="H30" s="7">
        <v>582.54102167991209</v>
      </c>
      <c r="I30" s="8">
        <v>57.664749667055197</v>
      </c>
      <c r="J30" s="7">
        <v>21.552470330253751</v>
      </c>
      <c r="K30" s="7">
        <v>21.277426163594839</v>
      </c>
      <c r="L30" s="7">
        <v>0.27504416665891901</v>
      </c>
      <c r="M30" s="8">
        <v>26.135262861209721</v>
      </c>
      <c r="N30" s="8">
        <v>26.246765275823389</v>
      </c>
      <c r="O30" s="8">
        <v>17.256578239030329</v>
      </c>
      <c r="P30" s="7">
        <v>27.736516368923251</v>
      </c>
      <c r="Q30" s="8">
        <v>3.9997859803400568</v>
      </c>
      <c r="R30" s="8">
        <v>0.71325716179516785</v>
      </c>
      <c r="S30" s="5" t="s">
        <v>221</v>
      </c>
      <c r="T30" s="8">
        <v>4.9204059389981332</v>
      </c>
      <c r="U30" s="8">
        <v>0.63587167062158179</v>
      </c>
      <c r="V30" s="8">
        <v>22.750134518752109</v>
      </c>
      <c r="W30" s="5" t="s">
        <v>224</v>
      </c>
      <c r="X30" s="8">
        <v>50.573310685503422</v>
      </c>
      <c r="Y30" s="8">
        <v>57.586269996787131</v>
      </c>
      <c r="Z30" s="8">
        <v>-0.11523050672938021</v>
      </c>
      <c r="AA30" s="8">
        <v>-3.5401323331118562</v>
      </c>
      <c r="AB30" s="8">
        <v>15.575002034505211</v>
      </c>
      <c r="AC30" s="8">
        <v>4.027908431513616</v>
      </c>
      <c r="AD30" s="8">
        <v>-8.0060993052858294</v>
      </c>
      <c r="AE30" s="8">
        <v>-8.0060993052858294</v>
      </c>
      <c r="AF30" s="8">
        <v>2.395928917992451</v>
      </c>
      <c r="AG30" s="5" t="s">
        <v>223</v>
      </c>
      <c r="AH30" s="8">
        <v>-6.5071694486824372</v>
      </c>
      <c r="AI30" s="8">
        <v>-7.2236964944199844</v>
      </c>
      <c r="AJ30" s="4">
        <v>19396.499865599999</v>
      </c>
      <c r="AK30" s="8">
        <v>88.563220000000001</v>
      </c>
      <c r="AL30" s="5"/>
      <c r="AM30" s="8">
        <v>0.68251000000000006</v>
      </c>
      <c r="AN30" s="8">
        <v>6.1</v>
      </c>
      <c r="AO30" s="8">
        <v>-12.9</v>
      </c>
    </row>
    <row r="31" spans="1:41" x14ac:dyDescent="0.35">
      <c r="A31" s="4">
        <v>12</v>
      </c>
      <c r="B31" s="5" t="s">
        <v>162</v>
      </c>
      <c r="C31" s="5" t="s">
        <v>98</v>
      </c>
      <c r="D31" s="4">
        <v>68</v>
      </c>
      <c r="E31" s="7">
        <v>268</v>
      </c>
      <c r="F31" s="7">
        <v>259.84809075568279</v>
      </c>
      <c r="G31" s="7">
        <v>247.19389821457159</v>
      </c>
      <c r="H31" s="7">
        <v>205.6861918025914</v>
      </c>
      <c r="I31" s="8">
        <v>57.905536230254818</v>
      </c>
      <c r="J31" s="7">
        <v>11.074366808913339</v>
      </c>
      <c r="K31" s="7">
        <v>7.3270261255431137</v>
      </c>
      <c r="L31" s="7">
        <v>3.7473406833702261</v>
      </c>
      <c r="M31" s="8">
        <v>29.387807362385381</v>
      </c>
      <c r="N31" s="8">
        <v>28.297840153374789</v>
      </c>
      <c r="O31" s="8">
        <v>17.79612387973561</v>
      </c>
      <c r="P31" s="7">
        <v>12.88077808786494</v>
      </c>
      <c r="Q31" s="8">
        <v>4.8062604805466176</v>
      </c>
      <c r="R31" s="8">
        <v>0.95677728804203399</v>
      </c>
      <c r="S31" s="5" t="s">
        <v>221</v>
      </c>
      <c r="T31" s="8">
        <v>5.6257578116719866</v>
      </c>
      <c r="U31" s="8">
        <v>0.685094021251059</v>
      </c>
      <c r="V31" s="8">
        <v>37.753512685275233</v>
      </c>
      <c r="W31" s="5" t="s">
        <v>222</v>
      </c>
      <c r="X31" s="8">
        <v>60.561288932443922</v>
      </c>
      <c r="Y31" s="8">
        <v>80.541354415574347</v>
      </c>
      <c r="Z31" s="8">
        <v>-6.9928836797834908</v>
      </c>
      <c r="AA31" s="8">
        <v>-4.107632222359447</v>
      </c>
      <c r="AB31" s="8">
        <v>14.5984774226231</v>
      </c>
      <c r="AC31" s="8">
        <v>3.847790287116148</v>
      </c>
      <c r="AD31" s="8">
        <v>-9.0600648459675313</v>
      </c>
      <c r="AE31" s="8">
        <v>-9.0600648459675313</v>
      </c>
      <c r="AF31" s="8">
        <v>3.1371826595338881</v>
      </c>
      <c r="AG31" s="5" t="s">
        <v>223</v>
      </c>
      <c r="AH31" s="8">
        <v>-6.5071694486824372</v>
      </c>
      <c r="AI31" s="8">
        <v>-7.2236964944199844</v>
      </c>
      <c r="AJ31" s="4">
        <v>17550.091878399999</v>
      </c>
      <c r="AK31" s="5"/>
      <c r="AL31" s="5"/>
      <c r="AM31" s="8">
        <v>0.47183000000000003</v>
      </c>
      <c r="AN31" s="8">
        <v>54.8</v>
      </c>
      <c r="AO31" s="5"/>
    </row>
    <row r="32" spans="1:41" x14ac:dyDescent="0.35">
      <c r="A32" s="4">
        <v>13</v>
      </c>
      <c r="B32" s="5" t="s">
        <v>165</v>
      </c>
      <c r="C32" s="5" t="s">
        <v>123</v>
      </c>
      <c r="D32" s="4">
        <v>68</v>
      </c>
      <c r="E32" s="7">
        <v>329.20001220703119</v>
      </c>
      <c r="F32" s="7">
        <v>328.61323941156479</v>
      </c>
      <c r="G32" s="7">
        <v>328.36833910755712</v>
      </c>
      <c r="H32" s="7">
        <v>299.02685324356071</v>
      </c>
      <c r="I32" s="8">
        <v>49.587045829604193</v>
      </c>
      <c r="J32" s="7">
        <v>-2.460721725046199</v>
      </c>
      <c r="K32" s="7">
        <v>-2.930776066603451</v>
      </c>
      <c r="L32" s="7">
        <v>0.47005434155725201</v>
      </c>
      <c r="M32" s="8">
        <v>23.200468313874431</v>
      </c>
      <c r="N32" s="8">
        <v>14.45122499023836</v>
      </c>
      <c r="O32" s="8">
        <v>17.099165333326201</v>
      </c>
      <c r="P32" s="7">
        <v>9.2142209909652735</v>
      </c>
      <c r="Q32" s="8">
        <v>2.7989734657635812</v>
      </c>
      <c r="R32" s="8">
        <v>1.126045793382082</v>
      </c>
      <c r="S32" s="5" t="s">
        <v>221</v>
      </c>
      <c r="T32" s="8">
        <v>1.679207843224455</v>
      </c>
      <c r="U32" s="8">
        <v>0.56503537871868903</v>
      </c>
      <c r="V32" s="8">
        <v>6.9204824042231214</v>
      </c>
      <c r="W32" s="5" t="s">
        <v>222</v>
      </c>
      <c r="X32" s="8">
        <v>62.56594261196031</v>
      </c>
      <c r="Y32" s="8">
        <v>58.933833914364897</v>
      </c>
      <c r="Z32" s="8">
        <v>-0.27264279910438338</v>
      </c>
      <c r="AA32" s="8">
        <v>1.3546873705140521</v>
      </c>
      <c r="AB32" s="8">
        <v>-3.6581795591000499</v>
      </c>
      <c r="AC32" s="8">
        <v>12.21388243993038</v>
      </c>
      <c r="AD32" s="8">
        <v>-4.2466480815378631</v>
      </c>
      <c r="AE32" s="8">
        <v>-8.2113431453042622</v>
      </c>
      <c r="AF32" s="8">
        <v>0.17856030284024721</v>
      </c>
      <c r="AG32" s="5" t="s">
        <v>223</v>
      </c>
      <c r="AH32" s="8">
        <v>-6.5071694486824372</v>
      </c>
      <c r="AI32" s="8">
        <v>-7.2236964944199844</v>
      </c>
      <c r="AJ32" s="4">
        <v>31822.6890752</v>
      </c>
      <c r="AK32" s="8">
        <v>11.624294000000001</v>
      </c>
      <c r="AL32" s="5"/>
      <c r="AM32" s="5"/>
      <c r="AN32" s="8">
        <v>26</v>
      </c>
      <c r="AO32" s="8">
        <v>45</v>
      </c>
    </row>
    <row r="33" spans="1:41" x14ac:dyDescent="0.35">
      <c r="A33" s="4">
        <v>14</v>
      </c>
      <c r="B33" s="5" t="s">
        <v>168</v>
      </c>
      <c r="C33" s="5" t="s">
        <v>123</v>
      </c>
      <c r="D33" s="4">
        <v>66</v>
      </c>
      <c r="E33" s="7">
        <v>376</v>
      </c>
      <c r="F33" s="7">
        <v>375.1549308845311</v>
      </c>
      <c r="G33" s="7">
        <v>359.05492924535031</v>
      </c>
      <c r="H33" s="7">
        <v>311.64256160524423</v>
      </c>
      <c r="I33" s="8">
        <v>53.911976649857799</v>
      </c>
      <c r="J33" s="7">
        <v>6.3513351098074509</v>
      </c>
      <c r="K33" s="7">
        <v>7.1900726320358226</v>
      </c>
      <c r="L33" s="7">
        <v>-0.83873752222837172</v>
      </c>
      <c r="M33" s="8">
        <v>25.69961704420907</v>
      </c>
      <c r="N33" s="8">
        <v>25.601058096029849</v>
      </c>
      <c r="O33" s="8">
        <v>12.860960242126479</v>
      </c>
      <c r="P33" s="7">
        <v>12.985126461846001</v>
      </c>
      <c r="Q33" s="8">
        <v>3.4534910802781909</v>
      </c>
      <c r="R33" s="8">
        <v>2.4948361073621488</v>
      </c>
      <c r="S33" s="5" t="s">
        <v>221</v>
      </c>
      <c r="T33" s="8">
        <v>2.177959631363116</v>
      </c>
      <c r="U33" s="8">
        <v>0.5414070890766528</v>
      </c>
      <c r="V33" s="8">
        <v>10.774260089029839</v>
      </c>
      <c r="W33" s="5" t="s">
        <v>222</v>
      </c>
      <c r="X33" s="8">
        <v>30.748668119651771</v>
      </c>
      <c r="Y33" s="8">
        <v>49.072953671475872</v>
      </c>
      <c r="Z33" s="8">
        <v>-0.6473806653468861</v>
      </c>
      <c r="AA33" s="8">
        <v>-4.28917038099158</v>
      </c>
      <c r="AB33" s="8">
        <v>1.539295812836494</v>
      </c>
      <c r="AC33" s="8">
        <v>23.765640259417498</v>
      </c>
      <c r="AD33" s="8">
        <v>-6.4443877307336583</v>
      </c>
      <c r="AE33" s="8">
        <v>-6.4443877307336583</v>
      </c>
      <c r="AF33" s="8">
        <v>0.22525869871319329</v>
      </c>
      <c r="AG33" s="5" t="s">
        <v>223</v>
      </c>
      <c r="AH33" s="8">
        <v>-6.5071694486824372</v>
      </c>
      <c r="AI33" s="8">
        <v>-7.2236964944199844</v>
      </c>
      <c r="AJ33" s="4">
        <v>14464.5701632</v>
      </c>
      <c r="AK33" s="5"/>
      <c r="AL33" s="5"/>
      <c r="AM33" s="8">
        <v>6.0510000000000001E-2</v>
      </c>
      <c r="AN33" s="8">
        <v>-14</v>
      </c>
      <c r="AO33" s="5"/>
    </row>
    <row r="34" spans="1:41" x14ac:dyDescent="0.35">
      <c r="A34" s="4">
        <v>15</v>
      </c>
      <c r="B34" s="5" t="s">
        <v>172</v>
      </c>
      <c r="C34" s="5" t="s">
        <v>98</v>
      </c>
      <c r="D34" s="4">
        <v>66</v>
      </c>
      <c r="E34" s="7">
        <v>258.30999755859381</v>
      </c>
      <c r="F34" s="7">
        <v>235.25372958324141</v>
      </c>
      <c r="G34" s="7">
        <v>224.43949994492161</v>
      </c>
      <c r="H34" s="7">
        <v>166.95420901975419</v>
      </c>
      <c r="I34" s="8">
        <v>62.205888112801581</v>
      </c>
      <c r="J34" s="7">
        <v>8.1804126222203877</v>
      </c>
      <c r="K34" s="7">
        <v>2.7196303240921731</v>
      </c>
      <c r="L34" s="7">
        <v>5.4607822981282146</v>
      </c>
      <c r="M34" s="8">
        <v>21.060881837609951</v>
      </c>
      <c r="N34" s="8">
        <v>42.785309682517813</v>
      </c>
      <c r="O34" s="8">
        <v>20.943580029129969</v>
      </c>
      <c r="P34" s="7">
        <v>11.68857426005291</v>
      </c>
      <c r="Q34" s="8">
        <v>4.525018145068711</v>
      </c>
      <c r="R34" s="8">
        <v>0.82287444624923434</v>
      </c>
      <c r="S34" s="5" t="s">
        <v>221</v>
      </c>
      <c r="T34" s="8">
        <v>4.0044262322910136</v>
      </c>
      <c r="U34" s="8">
        <v>0.87519610018737148</v>
      </c>
      <c r="V34" s="8">
        <v>34.354757480487457</v>
      </c>
      <c r="W34" s="5" t="s">
        <v>224</v>
      </c>
      <c r="X34" s="8">
        <v>77.116102892364736</v>
      </c>
      <c r="Y34" s="8">
        <v>90.634068027491637</v>
      </c>
      <c r="Z34" s="8">
        <v>-4.998159853973549</v>
      </c>
      <c r="AA34" s="8">
        <v>13.78292339761378</v>
      </c>
      <c r="AB34" s="8">
        <v>6.3953330517678264</v>
      </c>
      <c r="AC34" s="8">
        <v>20.43567016772316</v>
      </c>
      <c r="AD34" s="8">
        <v>-6.3788937950467801</v>
      </c>
      <c r="AE34" s="8">
        <v>-6.3788937950467801</v>
      </c>
      <c r="AF34" s="8">
        <v>9.8005961547122702</v>
      </c>
      <c r="AG34" s="5" t="s">
        <v>223</v>
      </c>
      <c r="AH34" s="8">
        <v>-6.5071694486824372</v>
      </c>
      <c r="AI34" s="8">
        <v>-7.2236964944199844</v>
      </c>
      <c r="AJ34" s="4">
        <v>39528.2415616</v>
      </c>
      <c r="AK34" s="8">
        <v>70.769859999999994</v>
      </c>
      <c r="AL34" s="5"/>
      <c r="AM34" s="8">
        <v>0.38321</v>
      </c>
      <c r="AN34" s="8">
        <v>119.9</v>
      </c>
      <c r="AO34" s="5"/>
    </row>
    <row r="35" spans="1:41" x14ac:dyDescent="0.35">
      <c r="A35" s="4">
        <v>16</v>
      </c>
      <c r="B35" s="5" t="s">
        <v>176</v>
      </c>
      <c r="C35" s="5" t="s">
        <v>98</v>
      </c>
      <c r="D35" s="4">
        <v>65</v>
      </c>
      <c r="E35" s="7">
        <v>2077.60009765625</v>
      </c>
      <c r="F35" s="7">
        <v>2011.0542432290031</v>
      </c>
      <c r="G35" s="7">
        <v>1849.5148914794711</v>
      </c>
      <c r="H35" s="7">
        <v>1655.214702982491</v>
      </c>
      <c r="I35" s="8">
        <v>57.662222268870423</v>
      </c>
      <c r="J35" s="7">
        <v>137.45893665072211</v>
      </c>
      <c r="K35" s="7">
        <v>118.8694913260496</v>
      </c>
      <c r="L35" s="7">
        <v>18.589445324672521</v>
      </c>
      <c r="M35" s="8">
        <v>35.517099418770407</v>
      </c>
      <c r="N35" s="8">
        <v>32.031707643071762</v>
      </c>
      <c r="O35" s="8">
        <v>20.298746526119601</v>
      </c>
      <c r="P35" s="7">
        <v>104.9257582577648</v>
      </c>
      <c r="Q35" s="8">
        <v>5.0503346806795033</v>
      </c>
      <c r="R35" s="8">
        <v>1.0408579663868009</v>
      </c>
      <c r="S35" s="5" t="s">
        <v>221</v>
      </c>
      <c r="T35" s="8">
        <v>2.3101092675813701</v>
      </c>
      <c r="U35" s="8">
        <v>0.62941237282852325</v>
      </c>
      <c r="V35" s="8">
        <v>39.967661896516468</v>
      </c>
      <c r="W35" s="5" t="s">
        <v>224</v>
      </c>
      <c r="X35" s="8">
        <v>51.082647071137401</v>
      </c>
      <c r="Y35" s="8">
        <v>74.609933764035304</v>
      </c>
      <c r="Z35" s="8">
        <v>-7.481296432759466</v>
      </c>
      <c r="AA35" s="8">
        <v>-6.884181466342854</v>
      </c>
      <c r="AB35" s="8">
        <v>16.850399193264899</v>
      </c>
      <c r="AC35" s="8">
        <v>29.3729414079992</v>
      </c>
      <c r="AD35" s="8">
        <v>-11.966097556938561</v>
      </c>
      <c r="AE35" s="8">
        <v>-11.966097556938561</v>
      </c>
      <c r="AF35" s="8">
        <v>3.3090034568336479</v>
      </c>
      <c r="AG35" s="5" t="s">
        <v>223</v>
      </c>
      <c r="AH35" s="8">
        <v>-6.5071694486824372</v>
      </c>
      <c r="AI35" s="8">
        <v>-7.2236964944199844</v>
      </c>
      <c r="AJ35" s="4">
        <v>8836.7579136000004</v>
      </c>
      <c r="AK35" s="8">
        <v>218.23528999999999</v>
      </c>
      <c r="AL35" s="5"/>
      <c r="AM35" s="8">
        <v>0.52834000000000003</v>
      </c>
      <c r="AN35" s="8">
        <v>-24.8</v>
      </c>
      <c r="AO35" s="5"/>
    </row>
    <row r="36" spans="1:41" x14ac:dyDescent="0.35">
      <c r="A36" s="4">
        <v>17</v>
      </c>
      <c r="B36" s="5" t="s">
        <v>179</v>
      </c>
      <c r="C36" s="5" t="s">
        <v>98</v>
      </c>
      <c r="D36" s="4">
        <v>65</v>
      </c>
      <c r="E36" s="7">
        <v>96.180000305175781</v>
      </c>
      <c r="F36" s="7">
        <v>93.716780651026895</v>
      </c>
      <c r="G36" s="7">
        <v>89.502442293520176</v>
      </c>
      <c r="H36" s="7">
        <v>75.337823764036585</v>
      </c>
      <c r="I36" s="8">
        <v>56.050045822775722</v>
      </c>
      <c r="J36" s="7">
        <v>3.8049747615884399</v>
      </c>
      <c r="K36" s="7">
        <v>2.8145408818025932</v>
      </c>
      <c r="L36" s="7">
        <v>0.99043387978584718</v>
      </c>
      <c r="M36" s="8">
        <v>33.936540081251728</v>
      </c>
      <c r="N36" s="8">
        <v>27.000786993097719</v>
      </c>
      <c r="O36" s="8">
        <v>17.253936480685859</v>
      </c>
      <c r="P36" s="7">
        <v>4.5365379256681546</v>
      </c>
      <c r="Q36" s="8">
        <v>4.7167164808420443</v>
      </c>
      <c r="R36" s="8">
        <v>1.0033229191551021</v>
      </c>
      <c r="S36" s="5" t="s">
        <v>221</v>
      </c>
      <c r="T36" s="8">
        <v>1.195099587789602</v>
      </c>
      <c r="U36" s="8">
        <v>0.65630561622536188</v>
      </c>
      <c r="V36" s="8">
        <v>38.486125277091993</v>
      </c>
      <c r="W36" s="5" t="s">
        <v>224</v>
      </c>
      <c r="X36" s="8">
        <v>66.583347320556641</v>
      </c>
      <c r="Y36" s="8">
        <v>80.877604285857544</v>
      </c>
      <c r="Z36" s="8">
        <v>-4.8664671050462012</v>
      </c>
      <c r="AA36" s="8">
        <v>-2.4939163622205158</v>
      </c>
      <c r="AB36" s="8">
        <v>15.61485452884661</v>
      </c>
      <c r="AC36" s="8">
        <v>12.985609834355349</v>
      </c>
      <c r="AD36" s="8">
        <v>-7.6967340479386692</v>
      </c>
      <c r="AE36" s="8">
        <v>-7.6967340479386692</v>
      </c>
      <c r="AF36" s="8">
        <v>2.6283656321071991</v>
      </c>
      <c r="AG36" s="5" t="s">
        <v>223</v>
      </c>
      <c r="AH36" s="8">
        <v>-6.5071694486824372</v>
      </c>
      <c r="AI36" s="8">
        <v>-7.2236964944199844</v>
      </c>
      <c r="AJ36" s="4">
        <v>14917.892505600001</v>
      </c>
      <c r="AK36" s="8">
        <v>57.250003999999997</v>
      </c>
      <c r="AL36" s="5"/>
      <c r="AM36" s="8">
        <v>6.4500000000000002E-2</v>
      </c>
      <c r="AN36" s="8">
        <v>142.9</v>
      </c>
      <c r="AO36" s="8">
        <v>91.7</v>
      </c>
    </row>
    <row r="37" spans="1:41" x14ac:dyDescent="0.35">
      <c r="A37" s="4">
        <v>18</v>
      </c>
      <c r="B37" s="5" t="s">
        <v>182</v>
      </c>
      <c r="C37" s="5" t="s">
        <v>98</v>
      </c>
      <c r="D37" s="4">
        <v>65</v>
      </c>
      <c r="E37" s="7">
        <v>232.19000244140619</v>
      </c>
      <c r="F37" s="7">
        <v>223.39757013198229</v>
      </c>
      <c r="G37" s="7">
        <v>211.6850907699947</v>
      </c>
      <c r="H37" s="7">
        <v>188.56072538722839</v>
      </c>
      <c r="I37" s="8">
        <v>58.500710072185989</v>
      </c>
      <c r="J37" s="7">
        <v>6.747389183515196</v>
      </c>
      <c r="K37" s="7">
        <v>6.3382520618911196</v>
      </c>
      <c r="L37" s="7">
        <v>0.40913712162407562</v>
      </c>
      <c r="M37" s="8">
        <v>31.647430847611961</v>
      </c>
      <c r="N37" s="8">
        <v>30.355971737252521</v>
      </c>
      <c r="O37" s="8">
        <v>15.37518858951046</v>
      </c>
      <c r="P37" s="7">
        <v>10.053128526225681</v>
      </c>
      <c r="Q37" s="8">
        <v>4.329699134553656</v>
      </c>
      <c r="R37" s="8">
        <v>0.56686302274032718</v>
      </c>
      <c r="S37" s="5" t="s">
        <v>221</v>
      </c>
      <c r="T37" s="8">
        <v>1.007215017606941</v>
      </c>
      <c r="U37" s="8">
        <v>0.727731486711378</v>
      </c>
      <c r="V37" s="8">
        <v>17.623090891463882</v>
      </c>
      <c r="W37" s="5" t="s">
        <v>224</v>
      </c>
      <c r="X37" s="8">
        <v>65.691628147750791</v>
      </c>
      <c r="Y37" s="8">
        <v>75.630645057030151</v>
      </c>
      <c r="Z37" s="8">
        <v>-1.8307127316244729</v>
      </c>
      <c r="AA37" s="8">
        <v>1.94950710928925</v>
      </c>
      <c r="AB37" s="8">
        <v>10.408939168803061</v>
      </c>
      <c r="AC37" s="8">
        <v>21.763070674222579</v>
      </c>
      <c r="AD37" s="8">
        <v>-5.1278919547578239</v>
      </c>
      <c r="AE37" s="8">
        <v>-8.7303427625534447</v>
      </c>
      <c r="AF37" s="8">
        <v>3.9357779514922249</v>
      </c>
      <c r="AG37" s="5" t="s">
        <v>223</v>
      </c>
      <c r="AH37" s="8">
        <v>-6.5071694486824372</v>
      </c>
      <c r="AI37" s="8">
        <v>-7.2236964944199844</v>
      </c>
      <c r="AJ37" s="4">
        <v>107469.6290304</v>
      </c>
      <c r="AK37" s="5"/>
      <c r="AL37" s="5"/>
      <c r="AM37" s="8">
        <v>1.4279999999999999E-2</v>
      </c>
      <c r="AN37" s="8">
        <v>48.3</v>
      </c>
      <c r="AO37" s="5"/>
    </row>
    <row r="38" spans="1:41" x14ac:dyDescent="0.35">
      <c r="A38" s="4">
        <v>19</v>
      </c>
      <c r="B38" s="5" t="s">
        <v>185</v>
      </c>
      <c r="C38" s="5" t="s">
        <v>98</v>
      </c>
      <c r="D38" s="4">
        <v>65</v>
      </c>
      <c r="E38" s="7">
        <v>1273.099975585938</v>
      </c>
      <c r="F38" s="7">
        <v>1236.7060582479769</v>
      </c>
      <c r="G38" s="7">
        <v>1170.5947350293111</v>
      </c>
      <c r="H38" s="7">
        <v>959.76738618391448</v>
      </c>
      <c r="I38" s="8">
        <v>58.142901548108163</v>
      </c>
      <c r="J38" s="7">
        <v>33.586036652026912</v>
      </c>
      <c r="K38" s="7">
        <v>32.200215253253518</v>
      </c>
      <c r="L38" s="7">
        <v>1.385821398773381</v>
      </c>
      <c r="M38" s="8">
        <v>35.330400251709747</v>
      </c>
      <c r="N38" s="8">
        <v>25.4572928864288</v>
      </c>
      <c r="O38" s="8">
        <v>13.48406918522047</v>
      </c>
      <c r="P38" s="7">
        <v>56.713775447522622</v>
      </c>
      <c r="Q38" s="8">
        <v>4.4547778285378108</v>
      </c>
      <c r="R38" s="8">
        <v>0.7132297756151148</v>
      </c>
      <c r="S38" s="5" t="s">
        <v>221</v>
      </c>
      <c r="T38" s="8">
        <v>2.0858449566277568</v>
      </c>
      <c r="U38" s="8">
        <v>0.68724735440386586</v>
      </c>
      <c r="V38" s="8">
        <v>21.322238603715689</v>
      </c>
      <c r="W38" s="5" t="s">
        <v>224</v>
      </c>
      <c r="X38" s="8">
        <v>66.862039571003265</v>
      </c>
      <c r="Y38" s="8">
        <v>65.16866992664491</v>
      </c>
      <c r="Z38" s="8">
        <v>0.50525180869720465</v>
      </c>
      <c r="AA38" s="8">
        <v>-1.3406733184138431</v>
      </c>
      <c r="AB38" s="8">
        <v>11.758762963708319</v>
      </c>
      <c r="AC38" s="8">
        <v>30.460624833394071</v>
      </c>
      <c r="AD38" s="8">
        <v>-6.244940518703979</v>
      </c>
      <c r="AE38" s="8">
        <v>-6.244940518703979</v>
      </c>
      <c r="AF38" s="8">
        <v>2.942810629513648</v>
      </c>
      <c r="AG38" s="5" t="s">
        <v>223</v>
      </c>
      <c r="AH38" s="8">
        <v>-6.5071694486824372</v>
      </c>
      <c r="AI38" s="8">
        <v>-7.2236964944199844</v>
      </c>
      <c r="AJ38" s="4">
        <v>11753.6464896</v>
      </c>
      <c r="AK38" s="8">
        <v>37.933810000000001</v>
      </c>
      <c r="AL38" s="5"/>
      <c r="AM38" s="8">
        <v>0.65566999999999998</v>
      </c>
      <c r="AN38" s="8">
        <v>24.5</v>
      </c>
      <c r="AO38" s="8">
        <v>48.5</v>
      </c>
    </row>
    <row r="39" spans="1:41" x14ac:dyDescent="0.35">
      <c r="A39" s="4">
        <v>20</v>
      </c>
      <c r="B39" s="5" t="s">
        <v>188</v>
      </c>
      <c r="C39" s="5" t="s">
        <v>98</v>
      </c>
      <c r="D39" s="4">
        <v>65</v>
      </c>
      <c r="E39" s="7">
        <v>793.5</v>
      </c>
      <c r="F39" s="7">
        <v>771.46310695310956</v>
      </c>
      <c r="G39" s="7">
        <v>727.62119399690323</v>
      </c>
      <c r="H39" s="7">
        <v>574.858811142832</v>
      </c>
      <c r="I39" s="8">
        <v>56.137382428805317</v>
      </c>
      <c r="J39" s="7">
        <v>22.241888554237221</v>
      </c>
      <c r="K39" s="7">
        <v>18.842624689877489</v>
      </c>
      <c r="L39" s="7">
        <v>3.3992638643597282</v>
      </c>
      <c r="M39" s="8">
        <v>31.935054605531519</v>
      </c>
      <c r="N39" s="8">
        <v>28.425107107075249</v>
      </c>
      <c r="O39" s="8">
        <v>13.29926443443181</v>
      </c>
      <c r="P39" s="7">
        <v>40.559426705891958</v>
      </c>
      <c r="Q39" s="8">
        <v>5.1114589421413932</v>
      </c>
      <c r="R39" s="8">
        <v>0.7490672752442753</v>
      </c>
      <c r="S39" s="5" t="s">
        <v>221</v>
      </c>
      <c r="T39" s="8">
        <v>5.519776590437008</v>
      </c>
      <c r="U39" s="8">
        <v>0.69986626831097309</v>
      </c>
      <c r="V39" s="8">
        <v>18.16885730410365</v>
      </c>
      <c r="W39" s="5" t="s">
        <v>222</v>
      </c>
      <c r="X39" s="8">
        <v>56.812696327362453</v>
      </c>
      <c r="Y39" s="8">
        <v>70.923807347592046</v>
      </c>
      <c r="Z39" s="8">
        <v>-3.3613416644230338</v>
      </c>
      <c r="AA39" s="8">
        <v>0.94777842665567658</v>
      </c>
      <c r="AB39" s="8">
        <v>8.0841753881716105</v>
      </c>
      <c r="AC39" s="8">
        <v>45.738506142377247</v>
      </c>
      <c r="AD39" s="8">
        <v>-7.3122272364384067</v>
      </c>
      <c r="AE39" s="8">
        <v>-7.3122272364384067</v>
      </c>
      <c r="AF39" s="8">
        <v>2.8565064029989711</v>
      </c>
      <c r="AG39" s="5" t="s">
        <v>223</v>
      </c>
      <c r="AH39" s="8">
        <v>-6.5071694486824372</v>
      </c>
      <c r="AI39" s="8">
        <v>-7.2236964944199844</v>
      </c>
      <c r="AJ39" s="4">
        <v>24892.6388224</v>
      </c>
      <c r="AK39" s="8">
        <v>93.352940000000004</v>
      </c>
      <c r="AL39" s="5"/>
      <c r="AM39" s="8">
        <v>1.6889999999999999E-2</v>
      </c>
      <c r="AN39" s="8">
        <v>72.099999999999994</v>
      </c>
      <c r="AO39" s="8">
        <v>72</v>
      </c>
    </row>
  </sheetData>
  <autoFilter ref="A4:AO39" xr:uid="{00000000-0009-0000-0000-000002000000}"/>
  <conditionalFormatting sqref="D5:D39">
    <cfRule type="colorScale" priority="1">
      <colorScale>
        <cfvo type="num" val="50"/>
        <cfvo type="num" val="65"/>
        <cfvo type="num" val="85"/>
        <color rgb="FFF8CBAD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6"/>
  <sheetViews>
    <sheetView topLeftCell="A44" workbookViewId="0"/>
  </sheetViews>
  <sheetFormatPr defaultRowHeight="14.5" x14ac:dyDescent="0.35"/>
  <cols>
    <col min="1" max="1" width="150" customWidth="1"/>
  </cols>
  <sheetData>
    <row r="1" spans="1:1" ht="15.5" x14ac:dyDescent="0.35">
      <c r="A1" s="10" t="s">
        <v>225</v>
      </c>
    </row>
    <row r="2" spans="1:1" ht="25" x14ac:dyDescent="0.35">
      <c r="A2" s="6" t="s">
        <v>226</v>
      </c>
    </row>
    <row r="3" spans="1:1" ht="25" x14ac:dyDescent="0.35">
      <c r="A3" s="6" t="s">
        <v>227</v>
      </c>
    </row>
    <row r="4" spans="1:1" ht="25" x14ac:dyDescent="0.35">
      <c r="A4" s="6" t="s">
        <v>228</v>
      </c>
    </row>
    <row r="5" spans="1:1" ht="25" x14ac:dyDescent="0.35">
      <c r="A5" s="6" t="s">
        <v>229</v>
      </c>
    </row>
    <row r="6" spans="1:1" ht="25" x14ac:dyDescent="0.35">
      <c r="A6" s="6" t="s">
        <v>230</v>
      </c>
    </row>
    <row r="7" spans="1:1" x14ac:dyDescent="0.35">
      <c r="A7" s="6" t="s">
        <v>231</v>
      </c>
    </row>
    <row r="8" spans="1:1" x14ac:dyDescent="0.35">
      <c r="A8" s="6" t="s">
        <v>232</v>
      </c>
    </row>
    <row r="9" spans="1:1" x14ac:dyDescent="0.35">
      <c r="A9" s="6" t="s">
        <v>233</v>
      </c>
    </row>
    <row r="10" spans="1:1" x14ac:dyDescent="0.35">
      <c r="A10" s="6"/>
    </row>
    <row r="11" spans="1:1" ht="15.5" x14ac:dyDescent="0.35">
      <c r="A11" s="10" t="s">
        <v>234</v>
      </c>
    </row>
    <row r="12" spans="1:1" x14ac:dyDescent="0.35">
      <c r="A12" s="6" t="s">
        <v>235</v>
      </c>
    </row>
    <row r="13" spans="1:1" x14ac:dyDescent="0.35">
      <c r="A13" s="6" t="s">
        <v>236</v>
      </c>
    </row>
    <row r="14" spans="1:1" x14ac:dyDescent="0.35">
      <c r="A14" s="6" t="s">
        <v>237</v>
      </c>
    </row>
    <row r="15" spans="1:1" x14ac:dyDescent="0.35">
      <c r="A15" s="6" t="s">
        <v>238</v>
      </c>
    </row>
    <row r="16" spans="1:1" x14ac:dyDescent="0.35">
      <c r="A16" s="6" t="s">
        <v>239</v>
      </c>
    </row>
    <row r="17" spans="1:1" x14ac:dyDescent="0.35">
      <c r="A17" s="6" t="s">
        <v>240</v>
      </c>
    </row>
    <row r="18" spans="1:1" x14ac:dyDescent="0.35">
      <c r="A18" s="6" t="s">
        <v>241</v>
      </c>
    </row>
    <row r="19" spans="1:1" x14ac:dyDescent="0.35">
      <c r="A19" s="6" t="s">
        <v>242</v>
      </c>
    </row>
    <row r="20" spans="1:1" x14ac:dyDescent="0.35">
      <c r="A20" s="6" t="s">
        <v>243</v>
      </c>
    </row>
    <row r="21" spans="1:1" x14ac:dyDescent="0.35">
      <c r="A21" s="6" t="s">
        <v>244</v>
      </c>
    </row>
    <row r="22" spans="1:1" x14ac:dyDescent="0.35">
      <c r="A22" s="6" t="s">
        <v>245</v>
      </c>
    </row>
    <row r="23" spans="1:1" x14ac:dyDescent="0.35">
      <c r="A23" s="6" t="s">
        <v>246</v>
      </c>
    </row>
    <row r="24" spans="1:1" x14ac:dyDescent="0.35">
      <c r="A24" s="6" t="s">
        <v>247</v>
      </c>
    </row>
    <row r="25" spans="1:1" x14ac:dyDescent="0.35">
      <c r="A25" s="6" t="s">
        <v>248</v>
      </c>
    </row>
    <row r="26" spans="1:1" x14ac:dyDescent="0.35">
      <c r="A26" s="6" t="s">
        <v>249</v>
      </c>
    </row>
    <row r="27" spans="1:1" x14ac:dyDescent="0.35">
      <c r="A27" s="6" t="s">
        <v>250</v>
      </c>
    </row>
    <row r="28" spans="1:1" x14ac:dyDescent="0.35">
      <c r="A28" s="6" t="s">
        <v>251</v>
      </c>
    </row>
    <row r="29" spans="1:1" x14ac:dyDescent="0.35">
      <c r="A29" s="6" t="s">
        <v>252</v>
      </c>
    </row>
    <row r="30" spans="1:1" x14ac:dyDescent="0.35">
      <c r="A30" s="6" t="s">
        <v>253</v>
      </c>
    </row>
    <row r="31" spans="1:1" x14ac:dyDescent="0.35">
      <c r="A31" s="6" t="s">
        <v>254</v>
      </c>
    </row>
    <row r="32" spans="1:1" x14ac:dyDescent="0.35">
      <c r="A32" s="6" t="s">
        <v>255</v>
      </c>
    </row>
    <row r="33" spans="1:1" x14ac:dyDescent="0.35">
      <c r="A33" s="6" t="s">
        <v>256</v>
      </c>
    </row>
    <row r="34" spans="1:1" x14ac:dyDescent="0.35">
      <c r="A34" s="6" t="s">
        <v>257</v>
      </c>
    </row>
    <row r="35" spans="1:1" x14ac:dyDescent="0.35">
      <c r="A35" s="6" t="s">
        <v>258</v>
      </c>
    </row>
    <row r="36" spans="1:1" x14ac:dyDescent="0.35">
      <c r="A36" s="6" t="s">
        <v>259</v>
      </c>
    </row>
    <row r="37" spans="1:1" x14ac:dyDescent="0.35">
      <c r="A37" s="6" t="s">
        <v>260</v>
      </c>
    </row>
    <row r="38" spans="1:1" x14ac:dyDescent="0.35">
      <c r="A38" s="6" t="s">
        <v>261</v>
      </c>
    </row>
    <row r="39" spans="1:1" x14ac:dyDescent="0.35">
      <c r="A39" s="6" t="s">
        <v>262</v>
      </c>
    </row>
    <row r="40" spans="1:1" x14ac:dyDescent="0.35">
      <c r="A40" s="6" t="s">
        <v>263</v>
      </c>
    </row>
    <row r="41" spans="1:1" x14ac:dyDescent="0.35">
      <c r="A41" s="6" t="s">
        <v>264</v>
      </c>
    </row>
    <row r="42" spans="1:1" x14ac:dyDescent="0.35">
      <c r="A42" s="6" t="s">
        <v>265</v>
      </c>
    </row>
    <row r="43" spans="1:1" x14ac:dyDescent="0.35">
      <c r="A43" s="6" t="s">
        <v>266</v>
      </c>
    </row>
    <row r="44" spans="1:1" x14ac:dyDescent="0.35">
      <c r="A44" s="6" t="s">
        <v>267</v>
      </c>
    </row>
    <row r="45" spans="1:1" x14ac:dyDescent="0.35">
      <c r="A45" s="6" t="s">
        <v>268</v>
      </c>
    </row>
    <row r="46" spans="1:1" x14ac:dyDescent="0.35">
      <c r="A46" s="6" t="s">
        <v>269</v>
      </c>
    </row>
    <row r="47" spans="1:1" x14ac:dyDescent="0.35">
      <c r="A47" s="6" t="s">
        <v>270</v>
      </c>
    </row>
    <row r="48" spans="1:1" x14ac:dyDescent="0.35">
      <c r="A48" s="6" t="s">
        <v>271</v>
      </c>
    </row>
    <row r="49" spans="1:1" x14ac:dyDescent="0.35">
      <c r="A49" s="6" t="s">
        <v>272</v>
      </c>
    </row>
    <row r="50" spans="1:1" x14ac:dyDescent="0.35">
      <c r="A50" s="6" t="s">
        <v>273</v>
      </c>
    </row>
    <row r="51" spans="1:1" x14ac:dyDescent="0.35">
      <c r="A51" s="6" t="s">
        <v>274</v>
      </c>
    </row>
    <row r="52" spans="1:1" x14ac:dyDescent="0.35">
      <c r="A52" s="6" t="s">
        <v>275</v>
      </c>
    </row>
    <row r="53" spans="1:1" x14ac:dyDescent="0.35">
      <c r="A53" s="6" t="s">
        <v>276</v>
      </c>
    </row>
    <row r="54" spans="1:1" x14ac:dyDescent="0.35">
      <c r="A54" s="6" t="s">
        <v>277</v>
      </c>
    </row>
    <row r="55" spans="1:1" x14ac:dyDescent="0.35">
      <c r="A55" s="6"/>
    </row>
    <row r="56" spans="1:1" x14ac:dyDescent="0.35">
      <c r="A56" s="6" t="s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SWING PICKS</vt:lpstr>
      <vt:lpstr>WATCHLIST</vt:lpstr>
      <vt:lpstr>ALL INDICATORS</vt:lpstr>
      <vt:lpstr>HOW TO 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2026-10-09T02:54:59Z</dcterms:created>
  <dcterms:modified xsi:type="dcterms:W3CDTF">2026-10-11T02:47:19Z</dcterms:modified>
</cp:coreProperties>
</file>